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abdil\Belgelerim\abjad-main\"/>
    </mc:Choice>
  </mc:AlternateContent>
  <bookViews>
    <workbookView xWindow="621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F18" i="1" l="1"/>
  <c r="C18" i="1"/>
  <c r="A18" i="1"/>
  <c r="G15" i="1"/>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C15" i="2"/>
  <c r="B3" i="2"/>
  <c r="B17" i="2"/>
  <c r="B11" i="2"/>
  <c r="B7" i="2"/>
  <c r="C3" i="2"/>
  <c r="B6" i="2"/>
  <c r="C14" i="2"/>
  <c r="C12" i="2"/>
  <c r="D5" i="1"/>
  <c r="C13" i="2"/>
  <c r="B15" i="2"/>
  <c r="B13" i="2"/>
  <c r="B9" i="2"/>
  <c r="B5" i="2"/>
  <c r="B14" i="2"/>
  <c r="D6" i="1"/>
  <c r="C6" i="2" s="1"/>
  <c r="C16" i="2"/>
  <c r="C10" i="2"/>
  <c r="B4" i="2" l="1"/>
  <c r="B2" i="2"/>
  <c r="E3" i="1"/>
  <c r="C11" i="2"/>
  <c r="B8" i="2"/>
  <c r="D7" i="1"/>
  <c r="B16" i="2"/>
  <c r="B10" i="2"/>
  <c r="E6" i="1"/>
  <c r="D8" i="1"/>
  <c r="B12" i="2"/>
  <c r="C9" i="2"/>
  <c r="C5" i="2"/>
  <c r="C17" i="2"/>
  <c r="D18" i="1" l="1"/>
  <c r="C8" i="2"/>
  <c r="E5" i="1"/>
  <c r="C7" i="2"/>
  <c r="E7" i="1"/>
  <c r="E8" i="1"/>
  <c r="I5" i="1" l="1"/>
  <c r="G5" i="1"/>
  <c r="J4" i="1"/>
  <c r="H4" i="1"/>
  <c r="J3" i="1"/>
  <c r="H3" i="1"/>
  <c r="I2" i="1"/>
  <c r="G2" i="1"/>
  <c r="J5" i="1"/>
  <c r="H5" i="1"/>
  <c r="I4" i="1"/>
  <c r="G4" i="1"/>
  <c r="I3" i="1"/>
  <c r="G3" i="1"/>
  <c r="H2" i="1"/>
  <c r="J2" i="1"/>
  <c r="I7" i="1"/>
  <c r="H7" i="1"/>
  <c r="G7" i="1"/>
  <c r="J7" i="1"/>
  <c r="J8" i="1"/>
  <c r="I8" i="1"/>
  <c r="H8" i="1"/>
  <c r="G8" i="1"/>
  <c r="J9" i="1"/>
  <c r="I9" i="1"/>
  <c r="H9" i="1"/>
  <c r="G9" i="1"/>
  <c r="I10" i="1"/>
  <c r="J10" i="1"/>
  <c r="G10" i="1"/>
  <c r="H10" i="1"/>
  <c r="K3" i="1" l="1"/>
  <c r="K4" i="1"/>
  <c r="K5" i="1"/>
  <c r="H6" i="1"/>
  <c r="I6" i="1"/>
  <c r="J6" i="1"/>
  <c r="K1" i="1"/>
  <c r="K2" i="1"/>
  <c r="G6" i="1"/>
  <c r="K6" i="1"/>
  <c r="E18" i="1"/>
  <c r="J12" i="1"/>
  <c r="I25" i="1"/>
  <c r="K13" i="1"/>
  <c r="J25" i="1"/>
  <c r="J13" i="1"/>
  <c r="H25" i="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Arial"/>
            <family val="2"/>
            <charset val="162"/>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t>
        </r>
      </text>
    </comment>
  </commentList>
</comments>
</file>

<file path=xl/sharedStrings.xml><?xml version="1.0" encoding="utf-8"?>
<sst xmlns="http://schemas.openxmlformats.org/spreadsheetml/2006/main" count="114" uniqueCount="89">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</sst>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7">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2"/>
      <color rgb="FFE69138"/>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b/>
      <sz val="18"/>
      <color rgb="FFCC0000"/>
      <name val="Arial"/>
      <family val="2"/>
      <charset val="162"/>
    </font>
    <font>
      <sz val="10"/>
      <color rgb="FFA64D79"/>
      <name val="Merriweather"/>
    </font>
    <font>
      <sz val="10"/>
      <color rgb="FF0B5394"/>
      <name val="Lobster"/>
    </font>
    <font>
      <sz val="10"/>
      <color rgb="FF6AA84F"/>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C9DAF8"/>
      <name val="Arial"/>
      <family val="2"/>
      <charset val="162"/>
    </font>
    <font>
      <sz val="18"/>
      <color rgb="FF000000"/>
      <name val="Arial"/>
      <family val="2"/>
      <charset val="162"/>
    </font>
    <font>
      <b/>
      <sz val="18"/>
      <color rgb="FF38761D"/>
      <name val="Arial"/>
      <family val="2"/>
      <charset val="162"/>
    </font>
    <font>
      <sz val="10"/>
      <color rgb="FFB6D7A8"/>
      <name val="Verdana"/>
      <family val="2"/>
      <charset val="162"/>
    </font>
    <font>
      <sz val="6"/>
      <color rgb="FF6AA84F"/>
      <name val="Arial"/>
      <family val="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6"/>
      <color rgb="FF6AA84F"/>
      <name val="Arial"/>
      <family val="2"/>
      <charset val="162"/>
    </font>
  </fonts>
  <fills count="12">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D9EAD3"/>
      </left>
      <right style="thick">
        <color rgb="FFD9EAD3"/>
      </right>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s>
  <cellStyleXfs count="3">
    <xf numFmtId="0" fontId="0" fillId="0" borderId="0"/>
    <xf numFmtId="0" fontId="1" fillId="0" borderId="0" applyBorder="0" applyProtection="0"/>
    <xf numFmtId="0" fontId="2" fillId="0" borderId="0" applyBorder="0" applyProtection="0"/>
  </cellStyleXfs>
  <cellXfs count="102">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2" fillId="4" borderId="3" xfId="0" applyFont="1" applyFill="1" applyBorder="1" applyAlignment="1">
      <alignment horizontal="center" vertical="top"/>
    </xf>
    <xf numFmtId="0" fontId="24" fillId="4" borderId="4" xfId="0" applyFont="1" applyFill="1" applyBorder="1" applyAlignment="1">
      <alignment horizontal="center" vertical="top"/>
    </xf>
    <xf numFmtId="0" fontId="25" fillId="4" borderId="4" xfId="0" applyFont="1" applyFill="1" applyBorder="1" applyAlignment="1">
      <alignment vertical="center"/>
    </xf>
    <xf numFmtId="0" fontId="26" fillId="2" borderId="4"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8" fillId="4"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3" borderId="3" xfId="0" applyFont="1" applyFill="1" applyBorder="1" applyAlignment="1">
      <alignment horizontal="center" vertical="center"/>
    </xf>
    <xf numFmtId="0" fontId="31" fillId="3" borderId="4" xfId="0" applyFont="1" applyFill="1" applyBorder="1" applyAlignment="1">
      <alignment horizontal="center" vertical="center" wrapText="1"/>
    </xf>
    <xf numFmtId="0" fontId="32" fillId="4" borderId="4" xfId="0" applyFont="1" applyFill="1" applyBorder="1" applyAlignment="1">
      <alignment horizontal="center" vertical="center" wrapText="1"/>
    </xf>
    <xf numFmtId="0" fontId="33" fillId="4" borderId="9" xfId="0" applyFont="1" applyFill="1" applyBorder="1" applyAlignment="1">
      <alignment horizontal="center" vertical="center"/>
    </xf>
    <xf numFmtId="0" fontId="34" fillId="4" borderId="4" xfId="0" applyFont="1" applyFill="1" applyBorder="1" applyAlignment="1">
      <alignment horizontal="right" vertical="center" wrapText="1"/>
    </xf>
    <xf numFmtId="0" fontId="34" fillId="4" borderId="4" xfId="0" applyFont="1" applyFill="1" applyBorder="1" applyAlignment="1">
      <alignment horizontal="left" vertical="center" wrapText="1"/>
    </xf>
    <xf numFmtId="0" fontId="35" fillId="4" borderId="10" xfId="0" applyFont="1" applyFill="1" applyBorder="1" applyAlignment="1">
      <alignment horizontal="center" vertical="center"/>
    </xf>
    <xf numFmtId="0" fontId="33" fillId="4" borderId="4" xfId="0" applyFont="1" applyFill="1" applyBorder="1" applyAlignment="1">
      <alignment horizontal="center" vertical="center"/>
    </xf>
    <xf numFmtId="0" fontId="38" fillId="4" borderId="9" xfId="0" applyFont="1" applyFill="1" applyBorder="1" applyAlignment="1">
      <alignment horizontal="center" vertical="center" wrapText="1"/>
    </xf>
    <xf numFmtId="0" fontId="38" fillId="4" borderId="4" xfId="0" applyFont="1" applyFill="1" applyBorder="1" applyAlignment="1">
      <alignment horizontal="center" vertical="center" wrapText="1"/>
    </xf>
    <xf numFmtId="0" fontId="40" fillId="4" borderId="2" xfId="0" applyFont="1" applyFill="1" applyBorder="1" applyAlignment="1">
      <alignment horizontal="center" vertical="center"/>
    </xf>
    <xf numFmtId="0" fontId="41"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42" fillId="4" borderId="2" xfId="0" applyFont="1" applyFill="1" applyBorder="1" applyAlignment="1">
      <alignment horizontal="center" vertical="center" wrapText="1"/>
    </xf>
    <xf numFmtId="0" fontId="45" fillId="10" borderId="0" xfId="0" applyFont="1" applyFill="1" applyAlignment="1">
      <alignment horizontal="center" vertical="center" wrapText="1"/>
    </xf>
    <xf numFmtId="0" fontId="47" fillId="11" borderId="14" xfId="0" applyFont="1" applyFill="1" applyBorder="1" applyAlignment="1">
      <alignment horizontal="left" vertical="top" wrapText="1"/>
    </xf>
    <xf numFmtId="0" fontId="48" fillId="0" borderId="0" xfId="0" applyFont="1" applyAlignment="1">
      <alignment horizontal="center" vertical="center"/>
    </xf>
    <xf numFmtId="0" fontId="49" fillId="8" borderId="15" xfId="0" applyFont="1" applyFill="1" applyBorder="1" applyAlignment="1">
      <alignment horizontal="left" vertical="center"/>
    </xf>
    <xf numFmtId="0" fontId="50" fillId="8" borderId="15" xfId="0" applyFont="1" applyFill="1" applyBorder="1" applyAlignment="1">
      <alignment horizontal="center" vertical="center"/>
    </xf>
    <xf numFmtId="0" fontId="50" fillId="8" borderId="15" xfId="0" applyFont="1" applyFill="1" applyBorder="1" applyAlignment="1">
      <alignment vertical="center"/>
    </xf>
    <xf numFmtId="0" fontId="50" fillId="8" borderId="15" xfId="0" applyFont="1" applyFill="1" applyBorder="1" applyAlignment="1"/>
    <xf numFmtId="0" fontId="50" fillId="0" borderId="0" xfId="0" applyFont="1" applyAlignment="1">
      <alignment horizontal="left" vertical="center"/>
    </xf>
    <xf numFmtId="0" fontId="50" fillId="0" borderId="0" xfId="0" applyFont="1" applyAlignment="1">
      <alignment horizontal="center" vertical="center"/>
    </xf>
    <xf numFmtId="0" fontId="34" fillId="0" borderId="0" xfId="0" applyFont="1" applyAlignment="1">
      <alignment horizontal="center" vertical="center"/>
    </xf>
    <xf numFmtId="0" fontId="55" fillId="0" borderId="0" xfId="0" applyFont="1" applyAlignment="1">
      <alignment horizontal="left" vertical="center"/>
    </xf>
    <xf numFmtId="0" fontId="49" fillId="0" borderId="0" xfId="0" applyFont="1" applyAlignment="1">
      <alignment vertical="center"/>
    </xf>
    <xf numFmtId="0" fontId="59" fillId="0" borderId="0" xfId="0" applyFont="1" applyAlignment="1">
      <alignment horizontal="center" vertical="center"/>
    </xf>
    <xf numFmtId="0" fontId="49" fillId="0" borderId="0" xfId="0" applyFont="1" applyAlignment="1">
      <alignment horizontal="left" vertical="center"/>
    </xf>
    <xf numFmtId="0" fontId="61" fillId="6" borderId="17" xfId="0" applyFont="1" applyFill="1" applyBorder="1" applyAlignment="1">
      <alignment horizontal="center" vertical="center" wrapText="1"/>
    </xf>
    <xf numFmtId="0" fontId="62" fillId="6" borderId="17" xfId="0" applyFont="1" applyFill="1" applyBorder="1" applyAlignment="1">
      <alignment horizontal="center" vertical="center" wrapText="1"/>
    </xf>
    <xf numFmtId="0" fontId="63" fillId="4" borderId="17" xfId="0" applyFont="1" applyFill="1" applyBorder="1" applyAlignment="1">
      <alignment horizontal="right" vertical="center" wrapText="1"/>
    </xf>
    <xf numFmtId="0" fontId="63" fillId="4" borderId="17" xfId="0" applyFont="1" applyFill="1" applyBorder="1" applyAlignment="1">
      <alignment horizontal="center" vertical="center" wrapText="1"/>
    </xf>
    <xf numFmtId="0" fontId="61" fillId="6" borderId="17" xfId="0" applyFont="1" applyFill="1" applyBorder="1" applyAlignment="1">
      <alignment horizontal="center" wrapText="1"/>
    </xf>
    <xf numFmtId="0" fontId="48" fillId="0" borderId="0" xfId="0" applyFont="1" applyAlignment="1">
      <alignment horizontal="right"/>
    </xf>
    <xf numFmtId="0" fontId="48" fillId="0" borderId="0" xfId="0" applyFont="1" applyAlignment="1">
      <alignment horizontal="center"/>
    </xf>
    <xf numFmtId="0" fontId="64" fillId="0" borderId="18" xfId="0" applyFont="1" applyBorder="1" applyAlignment="1">
      <alignment horizontal="center" wrapText="1"/>
    </xf>
    <xf numFmtId="0" fontId="48" fillId="0" borderId="19" xfId="0" applyFont="1" applyBorder="1"/>
    <xf numFmtId="0" fontId="64" fillId="0" borderId="20" xfId="0" applyFont="1" applyBorder="1" applyAlignment="1">
      <alignment horizontal="center" wrapText="1"/>
    </xf>
    <xf numFmtId="0" fontId="48" fillId="0" borderId="21" xfId="0" applyFont="1" applyBorder="1"/>
    <xf numFmtId="0" fontId="64" fillId="0" borderId="20" xfId="0" applyFont="1" applyBorder="1" applyAlignment="1">
      <alignment horizontal="left" wrapText="1"/>
    </xf>
    <xf numFmtId="0" fontId="64" fillId="0" borderId="20" xfId="0" applyFont="1" applyBorder="1" applyAlignment="1">
      <alignment horizontal="right" wrapText="1"/>
    </xf>
    <xf numFmtId="0" fontId="64" fillId="0" borderId="22" xfId="0" applyFont="1" applyBorder="1" applyAlignment="1">
      <alignment horizontal="left" wrapText="1"/>
    </xf>
    <xf numFmtId="0" fontId="48" fillId="0" borderId="23" xfId="0" applyFont="1" applyBorder="1"/>
    <xf numFmtId="0" fontId="64" fillId="0" borderId="0" xfId="0" applyFont="1" applyAlignment="1">
      <alignment horizontal="left" wrapText="1"/>
    </xf>
    <xf numFmtId="0" fontId="65" fillId="0" borderId="0" xfId="0" applyFont="1" applyAlignment="1">
      <alignment horizontal="left"/>
    </xf>
    <xf numFmtId="49" fontId="17" fillId="3" borderId="2" xfId="0" applyNumberFormat="1" applyFont="1" applyFill="1" applyBorder="1" applyAlignment="1">
      <alignment horizontal="right" vertical="center" wrapText="1"/>
    </xf>
    <xf numFmtId="0" fontId="66" fillId="4" borderId="4" xfId="0" applyFont="1" applyFill="1" applyBorder="1" applyAlignment="1">
      <alignment horizontal="center" vertical="center" wrapText="1"/>
    </xf>
    <xf numFmtId="0" fontId="34" fillId="0" borderId="0" xfId="0" applyFont="1"/>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21" fillId="4" borderId="4" xfId="0" applyFont="1" applyFill="1" applyBorder="1" applyAlignment="1">
      <alignment horizontal="center" vertical="center" wrapText="1"/>
    </xf>
    <xf numFmtId="0" fontId="23" fillId="4" borderId="4" xfId="0" applyFont="1" applyFill="1" applyBorder="1" applyAlignment="1">
      <alignment horizontal="center" vertical="center"/>
    </xf>
    <xf numFmtId="0" fontId="36" fillId="4" borderId="9" xfId="0" applyFont="1" applyFill="1" applyBorder="1" applyAlignment="1">
      <alignment horizontal="right" vertical="center" wrapText="1"/>
    </xf>
    <xf numFmtId="0" fontId="37" fillId="4" borderId="4" xfId="0" applyFont="1" applyFill="1" applyBorder="1" applyAlignment="1">
      <alignment horizontal="right" vertical="center" wrapText="1"/>
    </xf>
    <xf numFmtId="0" fontId="39" fillId="4" borderId="2" xfId="0" applyFont="1" applyFill="1" applyBorder="1" applyAlignment="1">
      <alignment horizontal="center" vertical="center"/>
    </xf>
    <xf numFmtId="0" fontId="43" fillId="9" borderId="11" xfId="0" applyFont="1" applyFill="1" applyBorder="1" applyAlignment="1">
      <alignment horizontal="center" vertical="center" wrapText="1"/>
    </xf>
    <xf numFmtId="0" fontId="44" fillId="10" borderId="12" xfId="0" applyFont="1" applyFill="1" applyBorder="1" applyAlignment="1">
      <alignment horizontal="left" vertical="center" wrapText="1"/>
    </xf>
    <xf numFmtId="0" fontId="46" fillId="11" borderId="13" xfId="0" applyFont="1" applyFill="1" applyBorder="1" applyAlignment="1">
      <alignment horizontal="right" vertical="top" wrapText="1"/>
    </xf>
    <xf numFmtId="0" fontId="51" fillId="8" borderId="15" xfId="0" applyFont="1" applyFill="1" applyBorder="1" applyAlignment="1">
      <alignment horizontal="left" vertical="center"/>
    </xf>
    <xf numFmtId="0" fontId="52" fillId="8" borderId="15" xfId="0" applyFont="1" applyFill="1" applyBorder="1" applyAlignment="1">
      <alignment horizontal="center" vertical="center"/>
    </xf>
    <xf numFmtId="0" fontId="53" fillId="8" borderId="15" xfId="0" applyFont="1" applyFill="1" applyBorder="1" applyAlignment="1">
      <alignment vertical="center"/>
    </xf>
    <xf numFmtId="0" fontId="50" fillId="8" borderId="15" xfId="0" applyFont="1" applyFill="1" applyBorder="1" applyAlignment="1">
      <alignment horizontal="right" vertical="center"/>
    </xf>
    <xf numFmtId="0" fontId="54" fillId="8" borderId="15" xfId="0" applyFont="1" applyFill="1" applyBorder="1" applyAlignment="1"/>
    <xf numFmtId="0" fontId="53" fillId="8" borderId="15" xfId="0" applyFont="1" applyFill="1" applyBorder="1" applyAlignment="1"/>
    <xf numFmtId="0" fontId="56" fillId="0" borderId="0" xfId="0" applyFont="1" applyAlignment="1">
      <alignment horizontal="left" wrapText="1"/>
    </xf>
    <xf numFmtId="0" fontId="57" fillId="0" borderId="0" xfId="0" applyFont="1" applyBorder="1" applyAlignment="1">
      <alignment horizontal="center" vertical="center"/>
    </xf>
    <xf numFmtId="0" fontId="58" fillId="0" borderId="0" xfId="0" applyFont="1" applyBorder="1" applyAlignment="1">
      <alignment horizontal="center" vertical="center"/>
    </xf>
    <xf numFmtId="0" fontId="50" fillId="8" borderId="16" xfId="0" applyFont="1" applyFill="1" applyBorder="1" applyAlignment="1">
      <alignment horizontal="left" vertical="center"/>
    </xf>
    <xf numFmtId="0" fontId="61" fillId="6" borderId="17" xfId="0" applyFont="1" applyFill="1" applyBorder="1" applyAlignment="1">
      <alignment horizontal="center" vertical="center" wrapText="1"/>
    </xf>
  </cellXfs>
  <cellStyles count="3">
    <cellStyle name="Başlık" xfId="1"/>
    <cellStyle name="Normal" xfId="0" builtinId="0"/>
    <cellStyle name="Sonuç" xfId="2"/>
  </cellStyles>
  <dxfs count="4">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sqref="A1:F1"/>
    </sheetView>
  </sheetViews>
  <sheetFormatPr defaultColWidth="11.5703125" defaultRowHeight="12.75"/>
  <cols>
    <col min="1" max="1" width="26" customWidth="1"/>
    <col min="2" max="2" width="11.42578125" customWidth="1"/>
    <col min="3" max="3" width="10.140625" customWidth="1"/>
    <col min="4" max="4" width="24.140625" customWidth="1"/>
    <col min="5" max="6" width="11" customWidth="1"/>
    <col min="7" max="11" width="14.42578125" customWidth="1"/>
    <col min="12" max="12" width="17" customWidth="1"/>
    <col min="13" max="64" width="12.5703125" customWidth="1"/>
  </cols>
  <sheetData>
    <row r="1" spans="1:28" ht="26.1" customHeight="1">
      <c r="A1" s="81" t="s">
        <v>0</v>
      </c>
      <c r="B1" s="81"/>
      <c r="C1" s="81"/>
      <c r="D1" s="81"/>
      <c r="E1" s="81"/>
      <c r="F1" s="81"/>
      <c r="G1" s="1" t="s">
        <v>1</v>
      </c>
      <c r="H1" s="82" t="s">
        <v>2</v>
      </c>
      <c r="I1" s="82"/>
      <c r="J1" s="82"/>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8"/>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8"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83"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83"/>
      <c r="L9" s="3"/>
      <c r="M9" s="3"/>
      <c r="N9" s="3"/>
      <c r="O9" s="3"/>
      <c r="P9" s="3"/>
      <c r="Q9" s="3"/>
      <c r="R9" s="3"/>
      <c r="S9" s="3"/>
      <c r="T9" s="3"/>
      <c r="U9" s="3"/>
      <c r="V9" s="3"/>
      <c r="W9" s="3"/>
      <c r="X9" s="3"/>
      <c r="Y9" s="3"/>
      <c r="Z9" s="3"/>
      <c r="AA9" s="3"/>
      <c r="AB9" s="3"/>
    </row>
    <row r="10" spans="1:28" ht="23.25">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83"/>
      <c r="L10" s="3"/>
      <c r="M10" s="3"/>
      <c r="N10" s="3"/>
      <c r="O10" s="3"/>
      <c r="P10" s="3"/>
      <c r="Q10" s="3"/>
      <c r="R10" s="3"/>
      <c r="S10" s="3"/>
      <c r="T10" s="3"/>
      <c r="U10" s="3"/>
      <c r="V10" s="3"/>
      <c r="W10" s="3"/>
      <c r="X10" s="3"/>
      <c r="Y10" s="3"/>
      <c r="Z10" s="3"/>
      <c r="AA10" s="3"/>
      <c r="AB10" s="3"/>
    </row>
    <row r="11" spans="1:28" ht="23.25">
      <c r="A11" s="17"/>
      <c r="B11" s="18">
        <f t="shared" si="0"/>
        <v>1</v>
      </c>
      <c r="C11" s="19">
        <f t="shared" si="1"/>
        <v>1</v>
      </c>
      <c r="D11" s="13">
        <f t="shared" si="2"/>
        <v>0</v>
      </c>
      <c r="E11" s="14" t="str">
        <f>IF(D11=0,"",TESBIH(D11,25,99,33))</f>
        <v/>
      </c>
      <c r="F11" s="15" t="s">
        <v>8</v>
      </c>
      <c r="G11" s="26" t="s">
        <v>15</v>
      </c>
      <c r="H11" s="84" t="s">
        <v>16</v>
      </c>
      <c r="I11" s="84"/>
      <c r="J11" s="27" t="s">
        <v>17</v>
      </c>
      <c r="K11" s="28"/>
      <c r="L11" s="3"/>
      <c r="M11" s="3"/>
      <c r="N11" s="3"/>
      <c r="O11" s="3"/>
      <c r="P11" s="3"/>
      <c r="Q11" s="3"/>
      <c r="R11" s="3"/>
      <c r="S11" s="3"/>
      <c r="T11" s="3"/>
      <c r="U11" s="3"/>
      <c r="V11" s="3"/>
      <c r="W11" s="3"/>
      <c r="X11" s="3"/>
      <c r="Y11" s="3"/>
      <c r="Z11" s="3"/>
      <c r="AA11" s="3"/>
      <c r="AB11" s="3"/>
    </row>
    <row r="12" spans="1:28" ht="25.5">
      <c r="A12" s="17"/>
      <c r="B12" s="18">
        <f t="shared" si="0"/>
        <v>1</v>
      </c>
      <c r="C12" s="19">
        <f t="shared" si="1"/>
        <v>1</v>
      </c>
      <c r="D12" s="13">
        <f t="shared" si="2"/>
        <v>0</v>
      </c>
      <c r="E12" s="14" t="str">
        <f>IF(D12=0,"",TESBIH(D12,25,99,33))</f>
        <v/>
      </c>
      <c r="F12" s="15" t="s">
        <v>8</v>
      </c>
      <c r="G12" s="29" t="s">
        <v>18</v>
      </c>
      <c r="H12" s="29" t="s">
        <v>19</v>
      </c>
      <c r="I12" s="30">
        <v>5</v>
      </c>
      <c r="J12" s="31">
        <f>IF(C18="Toplam",BASTET(D18,I12,B3,C3,IF(G13="Arapça","ARABIC",IF(G13="Türkçe","TURKCE","HEBREW"))),BASTET(SUM(D5:D17)+D3,I12,B3,C3,IF(G13="Arapça","ARABIC",IF(G13="Türkçe","TURKCE","HEBREW"))))</f>
        <v>710</v>
      </c>
      <c r="K12" s="32" t="s">
        <v>20</v>
      </c>
      <c r="L12" s="3"/>
      <c r="M12" s="3"/>
      <c r="N12" s="3"/>
      <c r="O12" s="3"/>
      <c r="P12" s="3"/>
      <c r="Q12" s="3"/>
      <c r="R12" s="3"/>
      <c r="S12" s="3"/>
      <c r="T12" s="3"/>
      <c r="U12" s="3"/>
      <c r="V12" s="3"/>
      <c r="W12" s="3"/>
      <c r="X12" s="3"/>
      <c r="Y12" s="3"/>
      <c r="Z12" s="3"/>
      <c r="AA12" s="3"/>
      <c r="AB12" s="3"/>
    </row>
    <row r="13" spans="1:28" ht="23.25">
      <c r="A13" s="17"/>
      <c r="B13" s="19">
        <f t="shared" si="0"/>
        <v>1</v>
      </c>
      <c r="C13" s="19">
        <f t="shared" si="1"/>
        <v>1</v>
      </c>
      <c r="D13" s="13">
        <f t="shared" si="2"/>
        <v>0</v>
      </c>
      <c r="E13" s="14" t="str">
        <f>IF(D13=0,"",TESBIH(D13,25,99,33))</f>
        <v/>
      </c>
      <c r="F13" s="15" t="s">
        <v>8</v>
      </c>
      <c r="G13" s="33" t="s">
        <v>88</v>
      </c>
      <c r="H13" s="29" t="s">
        <v>21</v>
      </c>
      <c r="I13" s="34" t="s">
        <v>22</v>
      </c>
      <c r="J13" s="79" t="str">
        <f>IF(I13="ULVI-Y",IF(B3&lt;6,HUDDAM(J12+ABJAD("ي",1,C3),"ULVI",1),IF(B3&lt;11,HUDDAM(J12+ABJAD("ي",1,C3),"ULVI",7),HUDDAM(J12+ABJAD("ي",12,C3),"ULVI",12))),IF(B3&lt;6,HUDDAM(J12,I13,1),IF(B3&lt;11,HUDDAM(J12,I13,7),HUDDAM(J12,I13,12))))</f>
        <v>خنطئيل</v>
      </c>
      <c r="K13" s="35" t="str">
        <f>TESBIH(J12,25,99,33)</f>
        <v>[7 tur][17 kalan]</v>
      </c>
      <c r="L13" s="3"/>
      <c r="M13" s="3"/>
      <c r="N13" s="3"/>
      <c r="O13" s="3"/>
      <c r="P13" s="3"/>
      <c r="Q13" s="3"/>
      <c r="R13" s="3"/>
      <c r="S13" s="3"/>
      <c r="T13" s="3"/>
      <c r="U13" s="3"/>
      <c r="V13" s="3"/>
      <c r="W13" s="3"/>
      <c r="X13" s="3"/>
      <c r="Y13" s="3"/>
      <c r="Z13" s="3"/>
      <c r="AA13" s="3"/>
      <c r="AB13" s="3"/>
    </row>
    <row r="14" spans="1:28" ht="23.25">
      <c r="A14" s="17"/>
      <c r="B14" s="19">
        <f t="shared" si="0"/>
        <v>1</v>
      </c>
      <c r="C14" s="19">
        <f t="shared" si="1"/>
        <v>1</v>
      </c>
      <c r="D14" s="13">
        <f t="shared" si="2"/>
        <v>0</v>
      </c>
      <c r="E14" s="14" t="str">
        <f>IF(D14=0,"",TESBIH(D14,25,99,33))</f>
        <v/>
      </c>
      <c r="F14" s="15" t="s">
        <v>8</v>
      </c>
      <c r="G14" s="36"/>
      <c r="H14" s="37" t="str">
        <f>IF(I13="ULVI","😇",IF(I13="ULVI+10","😇",IF(I13="SUFLI","😼",IF(I13="ŞER","😈","💀"))))</f>
        <v>😇</v>
      </c>
      <c r="I14" s="38" t="str">
        <f>H14</f>
        <v>😇</v>
      </c>
      <c r="J14" s="39" t="s">
        <v>23</v>
      </c>
      <c r="K14" s="40"/>
      <c r="L14" s="3"/>
      <c r="M14" s="3"/>
      <c r="N14" s="3"/>
      <c r="O14" s="3"/>
      <c r="P14" s="3"/>
      <c r="Q14" s="3"/>
      <c r="R14" s="3"/>
      <c r="S14" s="3"/>
      <c r="T14" s="3"/>
      <c r="U14" s="3"/>
      <c r="V14" s="3"/>
      <c r="W14" s="3"/>
      <c r="X14" s="3"/>
      <c r="Y14" s="3"/>
      <c r="Z14" s="3"/>
      <c r="AA14" s="3"/>
      <c r="AB14" s="3"/>
    </row>
    <row r="15" spans="1:28" ht="22.15" customHeight="1">
      <c r="A15" s="17"/>
      <c r="B15" s="19">
        <f t="shared" si="0"/>
        <v>1</v>
      </c>
      <c r="C15" s="19">
        <f t="shared" si="1"/>
        <v>1</v>
      </c>
      <c r="D15" s="13">
        <f t="shared" si="2"/>
        <v>0</v>
      </c>
      <c r="E15" s="14" t="str">
        <f>IF(D15=0,"",TESBIH(D15,25,99,33))</f>
        <v/>
      </c>
      <c r="F15" s="15" t="s">
        <v>8</v>
      </c>
      <c r="G15" s="85" t="str">
        <f>CONCATENATE("  🢡",IF(C3=1,ABJAD(SAF(H15,""),B3,C3),ABJAD(H15,B3,C3)))</f>
        <v xml:space="preserve">  🢡4512</v>
      </c>
      <c r="H15" s="86" t="s">
        <v>24</v>
      </c>
      <c r="I15" s="86"/>
      <c r="J15" s="86"/>
      <c r="K15" s="86"/>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85"/>
      <c r="H16" s="86"/>
      <c r="I16" s="86"/>
      <c r="J16" s="86"/>
      <c r="K16" s="86"/>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41" t="s">
        <v>25</v>
      </c>
      <c r="H17" s="42" t="s">
        <v>25</v>
      </c>
      <c r="I17" s="42" t="s">
        <v>25</v>
      </c>
      <c r="J17" s="42" t="s">
        <v>25</v>
      </c>
      <c r="K17" s="42" t="s">
        <v>25</v>
      </c>
      <c r="L17" s="3"/>
      <c r="M17" s="3"/>
      <c r="N17" s="3"/>
      <c r="O17" s="3"/>
      <c r="P17" s="3"/>
      <c r="Q17" s="3"/>
      <c r="R17" s="3"/>
      <c r="S17" s="3"/>
      <c r="T17" s="3"/>
      <c r="U17" s="3"/>
      <c r="V17" s="3"/>
      <c r="W17" s="3"/>
      <c r="X17" s="3"/>
      <c r="Y17" s="3"/>
      <c r="Z17" s="3"/>
      <c r="AA17" s="3"/>
      <c r="AB17" s="3"/>
    </row>
    <row r="18" spans="1:28" ht="20.85" customHeight="1">
      <c r="A18" s="87" t="str">
        <f>CONCATENATE(CONCATENATE("Tablo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Tablo kodu: Sağir ebced değeri 🜨</v>
      </c>
      <c r="B18" s="87"/>
      <c r="C18" s="43" t="str">
        <f>IF(SUM(D5:D17)+D3=D18,"Toplam", CONCATENATE((HEPART(SUM(D5:D17)+D3,1)), " katı"))</f>
        <v>Toplam</v>
      </c>
      <c r="D18" s="44">
        <f>IF((SUM(D5:D17)+D3)&gt;0,IF((ROUNDDOWN((SUM(D5:D17)+D3-30)/4,0))&lt;1,HEPART(SUM(D5:D17)+D3),SUM(D5:D17)+D3),0)</f>
        <v>8473</v>
      </c>
      <c r="E18" s="45" t="str">
        <f>IF(C18="Toplam",TESBIH(D18,25,99,33),TESBIH(SUM(D5:D17),25,99,33))</f>
        <v>[85 tur][1X33][25 kalan]</v>
      </c>
      <c r="F18" s="46" t="str">
        <f>CONCATENATE(CONCATENATE(14-COUNTIF(D3:D17,0)," eklenen, "),CONCATENATE(COUNTIF(F3:F17,"Ekle")-(14-COUNTIF(D3:D17,0))," eklenemeyen"))</f>
        <v>3 eklenen, 11 eklenemeyen</v>
      </c>
      <c r="G18" s="88" t="s">
        <v>26</v>
      </c>
      <c r="H18" s="88"/>
      <c r="I18" s="88"/>
      <c r="J18" s="88"/>
      <c r="K18" s="88"/>
      <c r="L18" s="3"/>
      <c r="M18" s="3"/>
      <c r="N18" s="3"/>
      <c r="O18" s="3"/>
      <c r="P18" s="3"/>
      <c r="Q18" s="3"/>
      <c r="R18" s="3"/>
      <c r="S18" s="3"/>
      <c r="T18" s="3"/>
      <c r="U18" s="3"/>
      <c r="V18" s="3"/>
      <c r="W18" s="3"/>
      <c r="X18" s="3"/>
      <c r="Y18" s="3"/>
      <c r="Z18" s="3"/>
      <c r="AA18" s="3"/>
      <c r="AB18" s="3"/>
    </row>
    <row r="19" spans="1:28" ht="77.650000000000006" customHeight="1">
      <c r="A19" s="89" t="s">
        <v>27</v>
      </c>
      <c r="B19" s="89"/>
      <c r="C19" s="89"/>
      <c r="D19" s="89"/>
      <c r="E19" s="89"/>
      <c r="F19" s="47" t="s">
        <v>28</v>
      </c>
      <c r="G19" s="90" t="s">
        <v>29</v>
      </c>
      <c r="H19" s="90"/>
      <c r="I19" s="90"/>
      <c r="J19" s="90"/>
      <c r="K19" s="48" t="s">
        <v>30</v>
      </c>
      <c r="L19" s="49"/>
      <c r="M19" s="49"/>
      <c r="N19" s="49"/>
      <c r="O19" s="49"/>
      <c r="P19" s="49"/>
      <c r="Q19" s="49"/>
      <c r="R19" s="49"/>
      <c r="S19" s="49"/>
      <c r="T19" s="49"/>
      <c r="U19" s="49"/>
      <c r="V19" s="49"/>
      <c r="W19" s="49"/>
      <c r="X19" s="49"/>
      <c r="Y19" s="49"/>
      <c r="Z19" s="49"/>
      <c r="AA19" s="49"/>
      <c r="AB19" s="49"/>
    </row>
    <row r="20" spans="1:28" ht="14.25">
      <c r="A20" s="50" t="s">
        <v>31</v>
      </c>
      <c r="B20" s="51"/>
      <c r="C20" s="51"/>
      <c r="D20" s="51"/>
      <c r="E20" s="51"/>
      <c r="F20" s="51"/>
      <c r="G20" s="51"/>
      <c r="H20" s="51"/>
      <c r="I20" s="51"/>
      <c r="J20" s="51"/>
      <c r="K20" s="51"/>
      <c r="L20" s="49"/>
      <c r="M20" s="49"/>
      <c r="N20" s="49"/>
      <c r="O20" s="49"/>
      <c r="P20" s="49"/>
      <c r="Q20" s="49"/>
      <c r="R20" s="49"/>
      <c r="S20" s="49"/>
      <c r="T20" s="49"/>
      <c r="U20" s="49"/>
      <c r="V20" s="49"/>
      <c r="W20" s="49"/>
      <c r="X20" s="49"/>
      <c r="Y20" s="49"/>
      <c r="Z20" s="49"/>
      <c r="AA20" s="49"/>
      <c r="AB20" s="49"/>
    </row>
    <row r="21" spans="1:28" ht="14.25">
      <c r="A21" s="91" t="s">
        <v>32</v>
      </c>
      <c r="B21" s="91"/>
      <c r="C21" s="91"/>
      <c r="D21" s="91"/>
      <c r="E21" s="91"/>
      <c r="F21" s="91"/>
      <c r="G21" s="91"/>
      <c r="H21" s="91"/>
      <c r="I21" s="91"/>
      <c r="J21" s="91"/>
      <c r="K21" s="91"/>
      <c r="L21" s="49"/>
      <c r="M21" s="49"/>
      <c r="N21" s="49"/>
      <c r="O21" s="49"/>
      <c r="P21" s="49"/>
      <c r="Q21" s="49"/>
      <c r="R21" s="49"/>
      <c r="S21" s="49"/>
      <c r="T21" s="49"/>
      <c r="U21" s="49"/>
      <c r="V21" s="49"/>
      <c r="W21" s="49"/>
      <c r="X21" s="49"/>
      <c r="Y21" s="49"/>
      <c r="Z21" s="49"/>
      <c r="AA21" s="49"/>
      <c r="AB21" s="49"/>
    </row>
    <row r="22" spans="1:28" ht="14.25">
      <c r="A22" s="92" t="s">
        <v>33</v>
      </c>
      <c r="B22" s="52" t="s">
        <v>34</v>
      </c>
      <c r="C22" s="93" t="s">
        <v>35</v>
      </c>
      <c r="D22" s="93"/>
      <c r="E22" s="94" t="s">
        <v>36</v>
      </c>
      <c r="F22" s="94"/>
      <c r="G22" s="94"/>
      <c r="H22" s="95" t="s">
        <v>37</v>
      </c>
      <c r="I22" s="95"/>
      <c r="J22" s="53" t="s">
        <v>38</v>
      </c>
      <c r="K22" s="53"/>
      <c r="L22" s="49"/>
      <c r="M22" s="49"/>
      <c r="N22" s="49"/>
      <c r="O22" s="49"/>
      <c r="P22" s="49"/>
      <c r="Q22" s="49"/>
      <c r="R22" s="49"/>
      <c r="S22" s="49"/>
      <c r="T22" s="49"/>
      <c r="U22" s="49"/>
      <c r="V22" s="49"/>
      <c r="W22" s="49"/>
      <c r="X22" s="49"/>
      <c r="Y22" s="49"/>
      <c r="Z22" s="49"/>
      <c r="AA22" s="49"/>
      <c r="AB22" s="49"/>
    </row>
    <row r="23" spans="1:28" ht="14.25">
      <c r="A23" s="92"/>
      <c r="B23" s="52" t="s">
        <v>39</v>
      </c>
      <c r="C23" s="93" t="s">
        <v>40</v>
      </c>
      <c r="D23" s="93"/>
      <c r="E23" s="94" t="s">
        <v>41</v>
      </c>
      <c r="F23" s="94"/>
      <c r="G23" s="94"/>
      <c r="H23" s="96" t="s">
        <v>42</v>
      </c>
      <c r="I23" s="96"/>
      <c r="J23" s="53"/>
      <c r="K23" s="53"/>
      <c r="L23" s="49"/>
      <c r="M23" s="49"/>
      <c r="N23" s="49"/>
      <c r="O23" s="49"/>
      <c r="P23" s="49"/>
      <c r="Q23" s="49"/>
      <c r="R23" s="49"/>
      <c r="S23" s="49"/>
      <c r="T23" s="49"/>
      <c r="U23" s="49"/>
      <c r="V23" s="49"/>
      <c r="W23" s="49"/>
      <c r="X23" s="49"/>
      <c r="Y23" s="49"/>
      <c r="Z23" s="49"/>
      <c r="AA23" s="49"/>
      <c r="AB23" s="49"/>
    </row>
    <row r="24" spans="1:28" ht="14.25">
      <c r="A24" s="92"/>
      <c r="B24" s="52" t="s">
        <v>43</v>
      </c>
      <c r="C24" s="93" t="s">
        <v>44</v>
      </c>
      <c r="D24" s="93"/>
      <c r="E24" s="94" t="s">
        <v>45</v>
      </c>
      <c r="F24" s="94"/>
      <c r="G24" s="94"/>
      <c r="H24" s="96" t="s">
        <v>46</v>
      </c>
      <c r="I24" s="96"/>
      <c r="J24" s="53"/>
      <c r="K24" s="53"/>
      <c r="L24" s="49"/>
      <c r="M24" s="49"/>
      <c r="N24" s="49"/>
      <c r="O24" s="49"/>
      <c r="P24" s="49"/>
      <c r="Q24" s="49"/>
      <c r="R24" s="49"/>
      <c r="S24" s="49"/>
      <c r="T24" s="49"/>
      <c r="U24" s="49"/>
      <c r="V24" s="49"/>
      <c r="W24" s="49"/>
      <c r="X24" s="49"/>
      <c r="Y24" s="49"/>
      <c r="Z24" s="49"/>
      <c r="AA24" s="49"/>
      <c r="AB24" s="49"/>
    </row>
    <row r="25" spans="1:28" ht="23.25">
      <c r="A25" s="54" t="s">
        <v>47</v>
      </c>
      <c r="B25" s="55"/>
      <c r="C25" s="55"/>
      <c r="D25" s="55"/>
      <c r="E25" s="55"/>
      <c r="F25" s="55"/>
      <c r="G25" s="55"/>
      <c r="H25" s="56" t="str">
        <f>IF(B3&lt;6,HUDDAM(J12,"SUFLI"),HUDDAM(J12,"SUFLI",1))</f>
        <v>شصديوش</v>
      </c>
      <c r="I25" s="56" t="str">
        <f>IF(B3&lt;6,HUDDAM(J12,"ŞER"),HUDDAM(J12,"ŞER",1))</f>
        <v>شصاطيش</v>
      </c>
      <c r="J25" s="56" t="str">
        <f>IF(B3&lt;6,HUDDAM(J12,"اروت"),HUDDAM(J12,"اروت",1))</f>
        <v>قجاروت</v>
      </c>
      <c r="K25" s="55"/>
      <c r="L25" s="49"/>
      <c r="M25" s="49"/>
      <c r="N25" s="49"/>
      <c r="O25" s="49"/>
      <c r="P25" s="49"/>
      <c r="Q25" s="49"/>
      <c r="R25" s="49"/>
      <c r="S25" s="49"/>
      <c r="T25" s="49"/>
      <c r="U25" s="49"/>
      <c r="V25" s="49"/>
      <c r="W25" s="49"/>
      <c r="X25" s="49"/>
      <c r="Y25" s="49"/>
      <c r="Z25" s="49"/>
      <c r="AA25" s="49"/>
      <c r="AB25" s="49"/>
    </row>
    <row r="26" spans="1:28" ht="14.25">
      <c r="A26" s="54" t="s">
        <v>48</v>
      </c>
      <c r="B26" s="55"/>
      <c r="C26" s="55"/>
      <c r="D26" s="55"/>
      <c r="E26" s="55"/>
      <c r="F26" s="55"/>
      <c r="G26" s="55"/>
      <c r="H26" s="55" t="s">
        <v>49</v>
      </c>
      <c r="I26" s="55" t="s">
        <v>50</v>
      </c>
      <c r="J26" s="55" t="s">
        <v>51</v>
      </c>
      <c r="K26" s="55"/>
      <c r="L26" s="49"/>
      <c r="M26" s="49"/>
      <c r="N26" s="49"/>
      <c r="O26" s="49"/>
      <c r="P26" s="49"/>
      <c r="Q26" s="49"/>
      <c r="R26" s="49"/>
      <c r="S26" s="49"/>
      <c r="T26" s="49"/>
      <c r="U26" s="49"/>
      <c r="V26" s="49"/>
      <c r="W26" s="49"/>
      <c r="X26" s="49"/>
      <c r="Y26" s="49"/>
      <c r="Z26" s="49"/>
      <c r="AA26" s="49"/>
      <c r="AB26" s="49"/>
    </row>
    <row r="27" spans="1:28" ht="17.45" customHeight="1">
      <c r="A27" s="57" t="s">
        <v>52</v>
      </c>
      <c r="B27" s="97" t="s">
        <v>53</v>
      </c>
      <c r="C27" s="97"/>
      <c r="D27" s="97"/>
      <c r="E27" s="97"/>
      <c r="F27" s="97"/>
      <c r="G27" s="97"/>
      <c r="H27" s="97"/>
      <c r="I27" s="97"/>
      <c r="J27" s="97"/>
      <c r="K27" s="97"/>
      <c r="L27" s="49"/>
      <c r="M27" s="49"/>
      <c r="N27" s="49"/>
      <c r="O27" s="49"/>
      <c r="P27" s="49"/>
      <c r="Q27" s="49"/>
      <c r="R27" s="49"/>
      <c r="S27" s="49"/>
      <c r="T27" s="49"/>
      <c r="U27" s="49"/>
      <c r="V27" s="49"/>
      <c r="W27" s="49"/>
      <c r="X27" s="49"/>
      <c r="Y27" s="49"/>
      <c r="Z27" s="49"/>
      <c r="AA27" s="49"/>
      <c r="AB27" s="49"/>
    </row>
    <row r="28" spans="1:28" ht="14.25">
      <c r="A28" s="58" t="s">
        <v>54</v>
      </c>
      <c r="B28" s="55" t="s">
        <v>55</v>
      </c>
      <c r="C28" s="55"/>
      <c r="D28" s="55"/>
      <c r="E28" s="55"/>
      <c r="F28" s="55"/>
      <c r="G28" s="55"/>
      <c r="H28" s="55"/>
      <c r="I28" s="55"/>
      <c r="J28" s="55"/>
      <c r="K28" s="55"/>
      <c r="L28" s="49"/>
      <c r="M28" s="49"/>
      <c r="N28" s="49"/>
      <c r="O28" s="49"/>
      <c r="P28" s="49"/>
      <c r="Q28" s="49"/>
      <c r="R28" s="49"/>
      <c r="S28" s="49"/>
      <c r="T28" s="49"/>
      <c r="U28" s="49"/>
      <c r="V28" s="49"/>
      <c r="W28" s="49"/>
      <c r="X28" s="49"/>
      <c r="Y28" s="49"/>
      <c r="Z28" s="49"/>
      <c r="AA28" s="49"/>
      <c r="AB28" s="49"/>
    </row>
    <row r="29" spans="1:28" ht="14.25">
      <c r="A29" s="58" t="s">
        <v>56</v>
      </c>
      <c r="B29" s="55" t="s">
        <v>57</v>
      </c>
      <c r="C29" s="55"/>
      <c r="D29" s="55"/>
      <c r="E29" s="55"/>
      <c r="F29" s="55"/>
      <c r="G29" s="55"/>
      <c r="H29" s="55"/>
      <c r="I29" s="55"/>
      <c r="J29" s="55"/>
      <c r="K29" s="55"/>
      <c r="L29" s="49"/>
      <c r="M29" s="49"/>
      <c r="N29" s="49"/>
      <c r="O29" s="49"/>
      <c r="P29" s="49"/>
      <c r="Q29" s="49"/>
      <c r="R29" s="49"/>
      <c r="S29" s="49"/>
      <c r="T29" s="49"/>
      <c r="U29" s="49"/>
      <c r="V29" s="49"/>
      <c r="W29" s="49"/>
      <c r="X29" s="49"/>
      <c r="Y29" s="49"/>
      <c r="Z29" s="49"/>
      <c r="AA29" s="49"/>
      <c r="AB29" s="49"/>
    </row>
    <row r="30" spans="1:28" ht="14.25">
      <c r="A30" s="58" t="s">
        <v>58</v>
      </c>
      <c r="B30" s="55" t="s">
        <v>59</v>
      </c>
      <c r="C30" s="55"/>
      <c r="D30" s="98" t="s">
        <v>60</v>
      </c>
      <c r="E30" s="98"/>
      <c r="F30" s="98"/>
      <c r="G30" s="99" t="s">
        <v>61</v>
      </c>
      <c r="H30" s="99"/>
      <c r="I30" s="99"/>
      <c r="J30" s="55"/>
      <c r="K30" s="55"/>
      <c r="L30" s="49"/>
      <c r="M30" s="49"/>
      <c r="N30" s="49"/>
      <c r="O30" s="49"/>
      <c r="P30" s="49"/>
      <c r="Q30" s="49"/>
      <c r="R30" s="49"/>
      <c r="S30" s="49"/>
      <c r="T30" s="49"/>
      <c r="U30" s="49"/>
      <c r="V30" s="49"/>
      <c r="W30" s="49"/>
      <c r="X30" s="49"/>
      <c r="Y30" s="49"/>
      <c r="Z30" s="49"/>
      <c r="AA30" s="49"/>
      <c r="AB30" s="49"/>
    </row>
    <row r="31" spans="1:28" ht="14.25">
      <c r="A31" s="58" t="s">
        <v>62</v>
      </c>
      <c r="B31" s="55" t="s">
        <v>63</v>
      </c>
      <c r="C31" s="55"/>
      <c r="D31" s="98"/>
      <c r="E31" s="98"/>
      <c r="F31" s="98"/>
      <c r="G31" s="99"/>
      <c r="H31" s="99"/>
      <c r="I31" s="99"/>
      <c r="J31" s="55"/>
      <c r="K31" s="55"/>
      <c r="L31" s="49"/>
      <c r="M31" s="49"/>
      <c r="N31" s="49"/>
      <c r="O31" s="49"/>
      <c r="P31" s="49"/>
      <c r="Q31" s="49"/>
      <c r="R31" s="49"/>
      <c r="S31" s="49"/>
      <c r="T31" s="49"/>
      <c r="U31" s="49"/>
      <c r="V31" s="49"/>
      <c r="W31" s="49"/>
      <c r="X31" s="49"/>
      <c r="Y31" s="49"/>
      <c r="Z31" s="49"/>
      <c r="AA31" s="49"/>
      <c r="AB31" s="49"/>
    </row>
    <row r="32" spans="1:28" ht="14.25">
      <c r="A32" s="58" t="s">
        <v>64</v>
      </c>
      <c r="B32" s="55" t="s">
        <v>65</v>
      </c>
      <c r="C32" s="55"/>
      <c r="D32" s="55"/>
      <c r="E32" s="55"/>
      <c r="F32" s="55"/>
      <c r="G32" s="55"/>
      <c r="H32" s="55"/>
      <c r="I32" s="55"/>
      <c r="J32" s="55"/>
      <c r="K32" s="55"/>
      <c r="L32" s="49"/>
      <c r="M32" s="49"/>
      <c r="N32" s="49"/>
      <c r="O32" s="49"/>
      <c r="P32" s="49"/>
      <c r="Q32" s="49"/>
      <c r="R32" s="49"/>
      <c r="S32" s="49"/>
      <c r="T32" s="49"/>
      <c r="U32" s="49"/>
      <c r="V32" s="49"/>
      <c r="W32" s="49"/>
      <c r="X32" s="49"/>
      <c r="Y32" s="49"/>
      <c r="Z32" s="49"/>
      <c r="AA32" s="49"/>
      <c r="AB32" s="49"/>
    </row>
    <row r="33" spans="1:28" ht="14.25">
      <c r="A33" s="58" t="s">
        <v>66</v>
      </c>
      <c r="B33" s="55" t="s">
        <v>57</v>
      </c>
      <c r="C33" s="55"/>
      <c r="D33" s="55"/>
      <c r="E33" s="55"/>
      <c r="F33" s="55"/>
      <c r="G33" s="55"/>
      <c r="H33" s="55"/>
      <c r="I33" s="55"/>
      <c r="J33" s="55"/>
      <c r="K33" s="55"/>
      <c r="L33" s="49"/>
      <c r="M33" s="49"/>
      <c r="N33" s="49"/>
      <c r="O33" s="49"/>
      <c r="P33" s="49"/>
      <c r="Q33" s="49"/>
      <c r="R33" s="49"/>
      <c r="S33" s="49"/>
      <c r="T33" s="49"/>
      <c r="U33" s="49"/>
      <c r="V33" s="49"/>
      <c r="W33" s="49"/>
      <c r="X33" s="49"/>
      <c r="Y33" s="49"/>
      <c r="Z33" s="49"/>
      <c r="AA33" s="49"/>
      <c r="AB33" s="49"/>
    </row>
    <row r="34" spans="1:28" ht="14.25">
      <c r="A34" s="59" t="s">
        <v>67</v>
      </c>
      <c r="B34" s="55"/>
      <c r="C34" s="55"/>
      <c r="D34" s="55"/>
      <c r="E34" s="55"/>
      <c r="F34" s="55"/>
      <c r="G34" s="55"/>
      <c r="H34" s="55"/>
      <c r="I34" s="55"/>
      <c r="J34" s="55"/>
      <c r="K34" s="55"/>
      <c r="L34" s="49"/>
      <c r="M34" s="49"/>
      <c r="N34" s="49"/>
      <c r="O34" s="49"/>
      <c r="P34" s="49"/>
      <c r="Q34" s="49"/>
      <c r="R34" s="49"/>
      <c r="S34" s="49"/>
      <c r="T34" s="49"/>
      <c r="U34" s="49"/>
      <c r="V34" s="49"/>
      <c r="W34" s="49"/>
      <c r="X34" s="49"/>
      <c r="Y34" s="49"/>
      <c r="Z34" s="49"/>
      <c r="AA34" s="49"/>
      <c r="AB34" s="49"/>
    </row>
    <row r="35" spans="1:28" ht="14.25">
      <c r="A35" s="60" t="s">
        <v>68</v>
      </c>
      <c r="B35" s="100" t="s">
        <v>69</v>
      </c>
      <c r="C35" s="100"/>
      <c r="D35" s="100"/>
      <c r="E35" s="94" t="s">
        <v>38</v>
      </c>
      <c r="F35" s="94"/>
      <c r="G35" s="94"/>
      <c r="H35" s="55"/>
      <c r="I35" s="55"/>
      <c r="J35" s="55"/>
      <c r="K35" s="55"/>
      <c r="L35" s="49"/>
      <c r="M35" s="49"/>
      <c r="N35" s="49"/>
      <c r="O35" s="49"/>
      <c r="P35" s="49"/>
      <c r="Q35" s="49"/>
      <c r="R35" s="49"/>
      <c r="S35" s="49"/>
      <c r="T35" s="49"/>
      <c r="U35" s="49"/>
      <c r="V35" s="49"/>
      <c r="W35" s="49"/>
      <c r="X35" s="49"/>
      <c r="Y35" s="49"/>
      <c r="Z35" s="49"/>
      <c r="AA35" s="49"/>
      <c r="AB35" s="49"/>
    </row>
    <row r="36" spans="1:28" ht="14.25">
      <c r="A36" s="59" t="s">
        <v>70</v>
      </c>
      <c r="B36" s="55"/>
      <c r="C36" s="55"/>
      <c r="D36" s="55"/>
      <c r="E36" s="55"/>
      <c r="F36" s="55"/>
      <c r="G36" s="55"/>
      <c r="H36" s="55"/>
      <c r="I36" s="55"/>
      <c r="J36" s="55"/>
      <c r="K36" s="55"/>
      <c r="L36" s="49"/>
      <c r="M36" s="49"/>
      <c r="N36" s="49"/>
      <c r="O36" s="49"/>
      <c r="P36" s="49"/>
      <c r="Q36" s="49"/>
      <c r="R36" s="49"/>
      <c r="S36" s="49"/>
      <c r="T36" s="49"/>
      <c r="U36" s="49"/>
      <c r="V36" s="49"/>
      <c r="W36" s="49"/>
      <c r="X36" s="49"/>
      <c r="Y36" s="49"/>
      <c r="Z36" s="49"/>
      <c r="AA36" s="49"/>
      <c r="AB36" s="49"/>
    </row>
    <row r="37" spans="1:28" ht="14.25">
      <c r="A37" s="59" t="s">
        <v>71</v>
      </c>
      <c r="B37" s="55"/>
      <c r="C37" s="55"/>
      <c r="D37" s="55"/>
      <c r="E37" s="55"/>
      <c r="F37" s="55"/>
      <c r="G37" s="55"/>
      <c r="H37" s="55"/>
      <c r="I37" s="55"/>
      <c r="J37" s="55"/>
      <c r="K37" s="55"/>
      <c r="L37" s="49"/>
      <c r="M37" s="49"/>
      <c r="N37" s="49"/>
      <c r="O37" s="49"/>
      <c r="P37" s="49"/>
      <c r="Q37" s="49"/>
      <c r="R37" s="49"/>
      <c r="S37" s="49"/>
      <c r="T37" s="49"/>
      <c r="U37" s="49"/>
      <c r="V37" s="49"/>
      <c r="W37" s="49"/>
      <c r="X37" s="49"/>
      <c r="Y37" s="49"/>
      <c r="Z37" s="49"/>
      <c r="AA37" s="49"/>
      <c r="AB37" s="49"/>
    </row>
    <row r="38" spans="1:28" ht="14.25">
      <c r="A38" s="59" t="s">
        <v>72</v>
      </c>
      <c r="B38" s="55"/>
      <c r="C38" s="55"/>
      <c r="D38" s="55"/>
      <c r="E38" s="55"/>
      <c r="F38" s="55"/>
      <c r="G38" s="55"/>
      <c r="H38" s="55"/>
      <c r="I38" s="55"/>
      <c r="J38" s="55"/>
      <c r="K38" s="55"/>
      <c r="L38" s="49"/>
      <c r="M38" s="49"/>
      <c r="N38" s="49"/>
      <c r="O38" s="49"/>
      <c r="P38" s="49"/>
      <c r="Q38" s="49"/>
      <c r="R38" s="49"/>
      <c r="S38" s="49"/>
      <c r="T38" s="49"/>
      <c r="U38" s="49"/>
      <c r="V38" s="49"/>
      <c r="W38" s="49"/>
      <c r="X38" s="49"/>
      <c r="Y38" s="49"/>
      <c r="Z38" s="49"/>
      <c r="AA38" s="49"/>
      <c r="AB38" s="49"/>
    </row>
    <row r="39" spans="1:28" ht="14.25">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row>
    <row r="40" spans="1:28" ht="14.25">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row>
    <row r="41" spans="1:28" ht="14.25">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row>
    <row r="42" spans="1:28" ht="14.25">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row>
    <row r="43" spans="1:28" ht="14.25">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c r="AA43" s="49"/>
      <c r="AB43" s="49"/>
    </row>
    <row r="44" spans="1:28" ht="14.25">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c r="AA44" s="49"/>
      <c r="AB44" s="49"/>
    </row>
    <row r="45" spans="1:28" ht="14.25">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row>
    <row r="46" spans="1:28" ht="14.25">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c r="AA46" s="49"/>
      <c r="AB46" s="49"/>
    </row>
    <row r="47" spans="1:28" ht="14.25">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c r="AA47" s="49"/>
      <c r="AB47" s="49"/>
    </row>
    <row r="48" spans="1:28" ht="14.25">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c r="AA48" s="49"/>
      <c r="AB48" s="49"/>
    </row>
    <row r="49" spans="1:28" ht="14.25">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c r="AA49" s="49"/>
      <c r="AB49" s="49"/>
    </row>
    <row r="50" spans="1:28" ht="14.25">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row>
    <row r="51" spans="1:28" ht="14.25">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row>
    <row r="52" spans="1:28" ht="14.25">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c r="AA52" s="49"/>
      <c r="AB52" s="49"/>
    </row>
    <row r="53" spans="1:28" ht="14.25">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c r="AA53" s="49"/>
      <c r="AB53" s="49"/>
    </row>
    <row r="54" spans="1:28" ht="14.25">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row>
    <row r="55" spans="1:28" ht="14.25">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row>
    <row r="56" spans="1:28" ht="14.25">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row>
    <row r="57" spans="1:28" ht="14.25">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row>
    <row r="58" spans="1:28" ht="14.25">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row>
    <row r="59" spans="1:28" ht="14.25">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row>
    <row r="60" spans="1:28" ht="14.25">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row>
    <row r="61" spans="1:28" ht="14.25">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row>
    <row r="62" spans="1:28" ht="14.25">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row>
    <row r="63" spans="1:28" ht="14.25">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row>
    <row r="64" spans="1:28" ht="14.25">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row>
    <row r="65" spans="1:28" ht="14.25">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row>
    <row r="66" spans="1:28" ht="14.25">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row>
    <row r="67" spans="1:28" ht="14.25">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row>
    <row r="68" spans="1:28" ht="14.25">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row>
    <row r="69" spans="1:28" ht="14.25">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row>
    <row r="70" spans="1:28" ht="14.25">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row>
    <row r="71" spans="1:28" ht="14.25">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c r="AA71" s="49"/>
      <c r="AB71" s="49"/>
    </row>
    <row r="72" spans="1:28" ht="14.25">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row>
    <row r="73" spans="1:28" ht="14.25">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row>
    <row r="74" spans="1:28" ht="14.25">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row>
    <row r="75" spans="1:28" ht="14.25">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row>
    <row r="76" spans="1:28" ht="14.25">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row>
    <row r="77" spans="1:28" ht="14.25">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row>
    <row r="78" spans="1:28" ht="14.25">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row>
    <row r="79" spans="1:28" ht="14.25">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row>
    <row r="80" spans="1:28" ht="14.25">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row>
    <row r="81" spans="1:28" ht="14.25">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row>
    <row r="82" spans="1:28" ht="14.25">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c r="AA82" s="49"/>
      <c r="AB82" s="49"/>
    </row>
    <row r="83" spans="1:28" ht="14.25">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c r="AA83" s="49"/>
      <c r="AB83" s="49"/>
    </row>
    <row r="84" spans="1:28" ht="14.25">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row>
    <row r="85" spans="1:28" ht="14.25">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c r="AA85" s="49"/>
      <c r="AB85" s="49"/>
    </row>
    <row r="86" spans="1:28" ht="14.25">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c r="AA86" s="49"/>
      <c r="AB86" s="49"/>
    </row>
    <row r="87" spans="1:28" ht="14.25">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row>
    <row r="88" spans="1:28" ht="14.25">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row>
    <row r="89" spans="1:28" ht="14.25">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c r="AA89" s="49"/>
      <c r="AB89" s="49"/>
    </row>
    <row r="90" spans="1:28" ht="14.25">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c r="AA90" s="49"/>
      <c r="AB90" s="49"/>
    </row>
    <row r="91" spans="1:28" ht="14.25">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c r="AA91" s="49"/>
      <c r="AB91" s="49"/>
    </row>
    <row r="92" spans="1:28" ht="14.25">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c r="AA92" s="49"/>
      <c r="AB92" s="49"/>
    </row>
    <row r="93" spans="1:28" ht="14.25">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c r="AA93" s="49"/>
      <c r="AB93" s="49"/>
    </row>
    <row r="94" spans="1:28" ht="14.25">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row>
    <row r="95" spans="1:28" ht="14.25">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row>
    <row r="96" spans="1:28" ht="14.25">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row>
    <row r="97" spans="1:28" ht="14.25">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row>
    <row r="98" spans="1:28" ht="14.25">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row>
    <row r="99" spans="1:28" ht="14.25">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row>
    <row r="100" spans="1:28" ht="14.25">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row>
    <row r="101" spans="1:28" ht="14.25">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row>
    <row r="102" spans="1:28" ht="14.25">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row>
    <row r="103" spans="1:28" ht="14.25">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row>
    <row r="104" spans="1:28" ht="14.25">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row>
    <row r="105" spans="1:28" ht="14.25">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row>
    <row r="106" spans="1:28" ht="14.25">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row>
    <row r="107" spans="1:28" ht="14.25">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row>
    <row r="108" spans="1:28" ht="14.25">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row>
    <row r="109" spans="1:28" ht="14.25">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row>
    <row r="110" spans="1:28" ht="14.25">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row>
    <row r="111" spans="1:28" ht="14.25">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row>
    <row r="112" spans="1:28" ht="14.25">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row>
    <row r="113" spans="1:28" ht="14.25">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row>
    <row r="114" spans="1:28" ht="14.25">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row>
    <row r="115" spans="1:28" ht="14.25">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row>
    <row r="116" spans="1:28" ht="14.25">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row>
    <row r="117" spans="1:28" ht="14.25">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row>
    <row r="118" spans="1:28" ht="14.25">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row>
    <row r="119" spans="1:28" ht="14.25">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row>
    <row r="120" spans="1:28" ht="14.25">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row>
    <row r="121" spans="1:28" ht="14.25">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row>
    <row r="122" spans="1:28" ht="14.25">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row>
    <row r="123" spans="1:28" ht="14.25">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row>
    <row r="124" spans="1:28" ht="14.25">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row>
    <row r="125" spans="1:28" ht="14.25">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row>
    <row r="126" spans="1:28" ht="14.25">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row>
    <row r="127" spans="1:28" ht="14.25">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row>
    <row r="128" spans="1:28" ht="14.25">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row>
    <row r="129" spans="1:28" ht="14.25">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row>
    <row r="130" spans="1:28" ht="14.25">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row>
    <row r="131" spans="1:28" ht="14.25">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row>
    <row r="132" spans="1:28" ht="14.25">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row>
    <row r="133" spans="1:28" ht="14.25">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row>
    <row r="134" spans="1:28" ht="14.25">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row>
    <row r="135" spans="1:28" ht="14.25">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row>
    <row r="136" spans="1:28" ht="14.25">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row>
    <row r="137" spans="1:28" ht="14.25">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row>
    <row r="138" spans="1:28" ht="14.25">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row>
    <row r="139" spans="1:28" ht="14.25">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row>
    <row r="140" spans="1:28" ht="14.25">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row>
    <row r="141" spans="1:28" ht="14.25">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row>
    <row r="142" spans="1:28" ht="14.25">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row>
    <row r="143" spans="1:28" ht="14.25">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row>
    <row r="144" spans="1:28" ht="14.25">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row>
    <row r="145" spans="1:28" ht="14.25">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row>
    <row r="146" spans="1:28" ht="14.25">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row>
    <row r="147" spans="1:28" ht="14.25">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row>
    <row r="148" spans="1:28" ht="14.25">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row>
    <row r="149" spans="1:28" ht="14.25">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row>
    <row r="150" spans="1:28" ht="14.25">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row>
    <row r="151" spans="1:28" ht="14.25">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row>
    <row r="152" spans="1:28" ht="14.25">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row>
    <row r="153" spans="1:28" ht="14.25">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row>
    <row r="154" spans="1:28" ht="14.25">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row>
    <row r="155" spans="1:28" ht="14.25">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row>
    <row r="156" spans="1:28" ht="14.25">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row>
    <row r="157" spans="1:28" ht="14.25">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row>
    <row r="158" spans="1:28" ht="14.25">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row>
    <row r="159" spans="1:28" ht="14.25">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row>
    <row r="160" spans="1:28" ht="14.25">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row>
    <row r="161" spans="1:28" ht="14.25">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row>
    <row r="162" spans="1:28" ht="14.25">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row>
    <row r="163" spans="1:28" ht="14.25">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row>
    <row r="164" spans="1:28" ht="14.25">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row>
    <row r="165" spans="1:28" ht="14.25">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row>
    <row r="166" spans="1:28" ht="14.25">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row>
    <row r="167" spans="1:28" ht="14.25">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row>
    <row r="168" spans="1:28" ht="14.25">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row>
    <row r="169" spans="1:28" ht="14.25">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row>
    <row r="170" spans="1:28" ht="14.25">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row>
    <row r="171" spans="1:28" ht="14.25">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row>
    <row r="172" spans="1:28" ht="14.25">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row>
    <row r="173" spans="1:28" ht="14.25">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row>
    <row r="174" spans="1:28" ht="14.25">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row>
    <row r="175" spans="1:28" ht="14.25">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row>
    <row r="176" spans="1:28" ht="14.25">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row>
    <row r="177" spans="1:28" ht="14.25">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row>
    <row r="178" spans="1:28" ht="14.25">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row>
    <row r="179" spans="1:28" ht="14.25">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row>
    <row r="180" spans="1:28" ht="14.25">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row>
    <row r="181" spans="1:28" ht="14.25">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row>
    <row r="182" spans="1:28" ht="14.25">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row>
    <row r="183" spans="1:28" ht="14.25">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row>
    <row r="184" spans="1:28" ht="14.25">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row>
    <row r="185" spans="1:28" ht="14.25">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row>
    <row r="186" spans="1:28" ht="14.25">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row>
    <row r="187" spans="1:28" ht="14.25">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row>
    <row r="188" spans="1:28" ht="14.25">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row>
    <row r="189" spans="1:28" ht="14.25">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row>
    <row r="190" spans="1:28" ht="14.25">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row>
    <row r="191" spans="1:28" ht="14.25">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row>
    <row r="192" spans="1:28" ht="14.25">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row>
    <row r="193" spans="1:28" ht="14.25">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row>
    <row r="194" spans="1:28" ht="14.25">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row>
    <row r="195" spans="1:28" ht="14.25">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row>
    <row r="196" spans="1:28" ht="14.25">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row>
    <row r="197" spans="1:28" ht="14.25">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row>
    <row r="198" spans="1:28" ht="14.25">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row>
    <row r="199" spans="1:28" ht="14.25">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row>
    <row r="200" spans="1:28" ht="14.25">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row>
    <row r="201" spans="1:28" ht="14.25">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row>
    <row r="202" spans="1:28" ht="14.25">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row>
    <row r="203" spans="1:28" ht="14.25">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row>
    <row r="204" spans="1:28" ht="14.25">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row>
    <row r="205" spans="1:28" ht="14.25">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row>
    <row r="206" spans="1:28" ht="14.25">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row>
    <row r="207" spans="1:28" ht="14.25">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row>
    <row r="208" spans="1:28" ht="14.25">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row>
    <row r="209" spans="1:28" ht="14.25">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row>
    <row r="210" spans="1:28" ht="14.25">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row>
    <row r="211" spans="1:28" ht="14.25">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row>
    <row r="212" spans="1:28" ht="14.25">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row>
    <row r="213" spans="1:28" ht="14.25">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row>
    <row r="214" spans="1:28" ht="14.25">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row>
    <row r="215" spans="1:28" ht="14.25">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row>
    <row r="216" spans="1:28" ht="14.25">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row>
    <row r="217" spans="1:28" ht="14.25">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row>
    <row r="218" spans="1:28" ht="14.25">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c r="AA218" s="49"/>
      <c r="AB218" s="49"/>
    </row>
    <row r="219" spans="1:28" ht="14.25">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c r="AA219" s="49"/>
      <c r="AB219" s="49"/>
    </row>
    <row r="220" spans="1:28" ht="14.25">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c r="AA220" s="49"/>
      <c r="AB220" s="49"/>
    </row>
    <row r="221" spans="1:28" ht="14.25">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c r="AA221" s="49"/>
      <c r="AB221" s="49"/>
    </row>
    <row r="222" spans="1:28" ht="14.25">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c r="AA222" s="49"/>
      <c r="AB222" s="49"/>
    </row>
    <row r="223" spans="1:28" ht="14.25">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c r="AA223" s="49"/>
      <c r="AB223" s="49"/>
    </row>
    <row r="224" spans="1:28" ht="14.25">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c r="AA224" s="49"/>
      <c r="AB224" s="49"/>
    </row>
    <row r="225" spans="1:28" ht="14.25">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c r="AA225" s="49"/>
      <c r="AB225" s="49"/>
    </row>
    <row r="226" spans="1:28" ht="14.25">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c r="AA226" s="49"/>
      <c r="AB226" s="49"/>
    </row>
    <row r="227" spans="1:28" ht="14.25">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c r="AA227" s="49"/>
      <c r="AB227" s="49"/>
    </row>
    <row r="228" spans="1:28" ht="14.25">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c r="AA228" s="49"/>
      <c r="AB228" s="49"/>
    </row>
    <row r="229" spans="1:28" ht="14.25">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c r="AA229" s="49"/>
      <c r="AB229" s="49"/>
    </row>
    <row r="230" spans="1:28" ht="14.25">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c r="AA230" s="49"/>
      <c r="AB230" s="49"/>
    </row>
    <row r="231" spans="1:28" ht="14.25">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c r="AA231" s="49"/>
      <c r="AB231" s="49"/>
    </row>
    <row r="232" spans="1:28" ht="14.25">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c r="AA232" s="49"/>
      <c r="AB232" s="49"/>
    </row>
    <row r="233" spans="1:28" ht="14.25">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c r="AA233" s="49"/>
      <c r="AB233" s="49"/>
    </row>
    <row r="234" spans="1:28" ht="14.25">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c r="AA234" s="49"/>
      <c r="AB234" s="49"/>
    </row>
    <row r="235" spans="1:28" ht="14.25">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c r="AA235" s="49"/>
      <c r="AB235" s="49"/>
    </row>
    <row r="236" spans="1:28" ht="14.25">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c r="AA236" s="49"/>
      <c r="AB236" s="49"/>
    </row>
    <row r="237" spans="1:28" ht="14.25">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c r="AA237" s="49"/>
      <c r="AB237" s="49"/>
    </row>
    <row r="238" spans="1:28" ht="14.25">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c r="AA238" s="49"/>
      <c r="AB238" s="49"/>
    </row>
    <row r="239" spans="1:28" ht="14.25">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c r="AA239" s="49"/>
      <c r="AB239" s="49"/>
    </row>
    <row r="240" spans="1:28" ht="14.25">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c r="AA240" s="49"/>
      <c r="AB240" s="49"/>
    </row>
    <row r="241" spans="1:28" ht="14.25">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c r="AA241" s="49"/>
      <c r="AB241" s="49"/>
    </row>
    <row r="242" spans="1:28" ht="14.25">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row>
    <row r="243" spans="1:28" ht="14.25">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c r="AA243" s="49"/>
      <c r="AB243" s="49"/>
    </row>
    <row r="244" spans="1:28" ht="14.25">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c r="AA244" s="49"/>
      <c r="AB244" s="49"/>
    </row>
    <row r="245" spans="1:28" ht="14.25">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c r="AA245" s="49"/>
      <c r="AB245" s="49"/>
    </row>
    <row r="246" spans="1:28" ht="14.25">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c r="AA246" s="49"/>
      <c r="AB246" s="49"/>
    </row>
    <row r="247" spans="1:28" ht="14.25">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c r="AA247" s="49"/>
      <c r="AB247" s="49"/>
    </row>
    <row r="248" spans="1:28" ht="14.25">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c r="AA248" s="49"/>
      <c r="AB248" s="49"/>
    </row>
    <row r="249" spans="1:28" ht="14.25">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c r="AA249" s="49"/>
      <c r="AB249" s="49"/>
    </row>
    <row r="250" spans="1:28" ht="14.25">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c r="AA250" s="49"/>
      <c r="AB250" s="49"/>
    </row>
    <row r="251" spans="1:28" ht="14.25">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c r="AA251" s="49"/>
      <c r="AB251" s="49"/>
    </row>
    <row r="252" spans="1:28" ht="14.25">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c r="AA252" s="49"/>
      <c r="AB252" s="49"/>
    </row>
    <row r="253" spans="1:28" ht="14.25">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c r="AA253" s="49"/>
      <c r="AB253" s="49"/>
    </row>
    <row r="254" spans="1:28" ht="14.25">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c r="AA254" s="49"/>
      <c r="AB254" s="49"/>
    </row>
    <row r="255" spans="1:28" ht="14.25">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c r="AA255" s="49"/>
      <c r="AB255" s="49"/>
    </row>
    <row r="256" spans="1:28" ht="14.25">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row>
    <row r="257" spans="1:28" ht="14.25">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c r="AA257" s="49"/>
      <c r="AB257" s="49"/>
    </row>
    <row r="258" spans="1:28" ht="14.25">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c r="AA258" s="49"/>
      <c r="AB258" s="49"/>
    </row>
    <row r="259" spans="1:28" ht="14.25">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c r="AA259" s="49"/>
      <c r="AB259" s="49"/>
    </row>
    <row r="260" spans="1:28" ht="14.25">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c r="AA260" s="49"/>
      <c r="AB260" s="49"/>
    </row>
    <row r="261" spans="1:28" ht="14.25">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c r="AA261" s="49"/>
      <c r="AB261" s="49"/>
    </row>
    <row r="262" spans="1:28" ht="14.25">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c r="AA262" s="49"/>
      <c r="AB262" s="49"/>
    </row>
    <row r="263" spans="1:28" ht="14.25">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c r="AA263" s="49"/>
      <c r="AB263" s="49"/>
    </row>
    <row r="264" spans="1:28" ht="14.25">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c r="AA264" s="49"/>
      <c r="AB264" s="49"/>
    </row>
    <row r="265" spans="1:28" ht="14.25">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c r="AA265" s="49"/>
      <c r="AB265" s="49"/>
    </row>
    <row r="266" spans="1:28" ht="14.25">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c r="AA266" s="49"/>
      <c r="AB266" s="49"/>
    </row>
    <row r="267" spans="1:28" ht="14.25">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c r="AA267" s="49"/>
      <c r="AB267" s="49"/>
    </row>
    <row r="268" spans="1:28" ht="14.25">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c r="AA268" s="49"/>
      <c r="AB268" s="49"/>
    </row>
    <row r="269" spans="1:28" ht="14.25">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c r="AA269" s="49"/>
      <c r="AB269" s="49"/>
    </row>
    <row r="270" spans="1:28" ht="14.25">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c r="AA270" s="49"/>
      <c r="AB270" s="49"/>
    </row>
    <row r="271" spans="1:28" ht="14.25">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c r="AA271" s="49"/>
      <c r="AB271" s="49"/>
    </row>
    <row r="272" spans="1:28" ht="14.25">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c r="AA272" s="49"/>
      <c r="AB272" s="49"/>
    </row>
    <row r="273" spans="1:28" ht="14.25">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c r="AA273" s="49"/>
      <c r="AB273" s="49"/>
    </row>
    <row r="274" spans="1:28" ht="14.25">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c r="AA274" s="49"/>
      <c r="AB274" s="49"/>
    </row>
    <row r="275" spans="1:28" ht="14.25">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c r="AA275" s="49"/>
      <c r="AB275" s="49"/>
    </row>
    <row r="276" spans="1:28" ht="14.25">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c r="AA276" s="49"/>
      <c r="AB276" s="49"/>
    </row>
    <row r="277" spans="1:28" ht="14.25">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c r="AA277" s="49"/>
      <c r="AB277" s="49"/>
    </row>
    <row r="278" spans="1:28" ht="14.25">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c r="AA278" s="49"/>
      <c r="AB278" s="49"/>
    </row>
    <row r="279" spans="1:28" ht="14.25">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c r="AA279" s="49"/>
      <c r="AB279" s="49"/>
    </row>
    <row r="280" spans="1:28" ht="14.25">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c r="AA280" s="49"/>
      <c r="AB280" s="49"/>
    </row>
    <row r="281" spans="1:28" ht="14.25">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c r="AA281" s="49"/>
      <c r="AB281" s="49"/>
    </row>
    <row r="282" spans="1:28" ht="14.25">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c r="AA282" s="49"/>
      <c r="AB282" s="49"/>
    </row>
    <row r="283" spans="1:28" ht="14.25">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c r="AA283" s="49"/>
      <c r="AB283" s="49"/>
    </row>
    <row r="284" spans="1:28" ht="14.25">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c r="AA284" s="49"/>
      <c r="AB284" s="49"/>
    </row>
    <row r="285" spans="1:28" ht="14.25">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c r="AA285" s="49"/>
      <c r="AB285" s="49"/>
    </row>
    <row r="286" spans="1:28" ht="14.25">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c r="AA286" s="49"/>
      <c r="AB286" s="49"/>
    </row>
    <row r="287" spans="1:28" ht="14.25">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c r="AA287" s="49"/>
      <c r="AB287" s="49"/>
    </row>
    <row r="288" spans="1:28" ht="14.25">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c r="AA288" s="49"/>
      <c r="AB288" s="49"/>
    </row>
    <row r="289" spans="1:28" ht="14.25">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c r="AA289" s="49"/>
      <c r="AB289" s="49"/>
    </row>
    <row r="290" spans="1:28" ht="14.25">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c r="AA290" s="49"/>
      <c r="AB290" s="49"/>
    </row>
    <row r="291" spans="1:28" ht="14.25">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c r="AA291" s="49"/>
      <c r="AB291" s="49"/>
    </row>
    <row r="292" spans="1:28" ht="14.25">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c r="AA292" s="49"/>
      <c r="AB292" s="49"/>
    </row>
    <row r="293" spans="1:28" ht="14.25">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c r="AA293" s="49"/>
      <c r="AB293" s="49"/>
    </row>
    <row r="294" spans="1:28" ht="14.25">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c r="AA294" s="49"/>
      <c r="AB294" s="49"/>
    </row>
    <row r="295" spans="1:28" ht="14.25">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c r="AA295" s="49"/>
      <c r="AB295" s="49"/>
    </row>
    <row r="296" spans="1:28" ht="14.25">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c r="AA296" s="49"/>
      <c r="AB296" s="49"/>
    </row>
    <row r="297" spans="1:28" ht="14.25">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c r="AA297" s="49"/>
      <c r="AB297" s="49"/>
    </row>
    <row r="298" spans="1:28" ht="14.25">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c r="AA298" s="49"/>
      <c r="AB298" s="49"/>
    </row>
    <row r="299" spans="1:28" ht="14.25">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c r="AA299" s="49"/>
      <c r="AB299" s="49"/>
    </row>
    <row r="300" spans="1:28" ht="14.25">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c r="AA300" s="49"/>
      <c r="AB300" s="49"/>
    </row>
    <row r="301" spans="1:28" ht="14.25">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c r="AA301" s="49"/>
      <c r="AB301" s="49"/>
    </row>
    <row r="302" spans="1:28" ht="14.25">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c r="AA302" s="49"/>
      <c r="AB302" s="49"/>
    </row>
    <row r="303" spans="1:28" ht="14.25">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c r="AA303" s="49"/>
      <c r="AB303" s="49"/>
    </row>
    <row r="304" spans="1:28" ht="14.25">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c r="AA304" s="49"/>
      <c r="AB304" s="49"/>
    </row>
    <row r="305" spans="1:28" ht="14.25">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c r="AA305" s="49"/>
      <c r="AB305" s="49"/>
    </row>
    <row r="306" spans="1:28" ht="14.25">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c r="AA306" s="49"/>
      <c r="AB306" s="49"/>
    </row>
    <row r="307" spans="1:28" ht="14.25">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c r="AA307" s="49"/>
      <c r="AB307" s="49"/>
    </row>
    <row r="308" spans="1:28" ht="14.25">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c r="AA308" s="49"/>
      <c r="AB308" s="49"/>
    </row>
    <row r="309" spans="1:28" ht="14.25">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c r="AA309" s="49"/>
      <c r="AB309" s="49"/>
    </row>
    <row r="310" spans="1:28" ht="14.25">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c r="AA310" s="49"/>
      <c r="AB310" s="49"/>
    </row>
    <row r="311" spans="1:28" ht="14.25">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c r="AA311" s="49"/>
      <c r="AB311" s="49"/>
    </row>
    <row r="312" spans="1:28" ht="14.25">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c r="AA312" s="49"/>
      <c r="AB312" s="49"/>
    </row>
    <row r="313" spans="1:28" ht="14.25">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c r="AA313" s="49"/>
      <c r="AB313" s="49"/>
    </row>
    <row r="314" spans="1:28" ht="14.25">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c r="AA314" s="49"/>
      <c r="AB314" s="49"/>
    </row>
    <row r="315" spans="1:28" ht="14.25">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c r="AA315" s="49"/>
      <c r="AB315" s="49"/>
    </row>
    <row r="316" spans="1:28" ht="14.25">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c r="AA316" s="49"/>
      <c r="AB316" s="49"/>
    </row>
    <row r="317" spans="1:28" ht="14.25">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c r="AA317" s="49"/>
      <c r="AB317" s="49"/>
    </row>
    <row r="318" spans="1:28" ht="14.25">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c r="AA318" s="49"/>
      <c r="AB318" s="49"/>
    </row>
    <row r="319" spans="1:28" ht="14.25">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c r="AA319" s="49"/>
      <c r="AB319" s="49"/>
    </row>
    <row r="320" spans="1:28" ht="14.25">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c r="AA320" s="49"/>
      <c r="AB320" s="49"/>
    </row>
    <row r="321" spans="1:28" ht="14.25">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c r="AA321" s="49"/>
      <c r="AB321" s="49"/>
    </row>
    <row r="322" spans="1:28" ht="14.25">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c r="AA322" s="49"/>
      <c r="AB322" s="49"/>
    </row>
    <row r="323" spans="1:28" ht="14.25">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c r="AA323" s="49"/>
      <c r="AB323" s="49"/>
    </row>
    <row r="324" spans="1:28" ht="14.25">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row>
    <row r="325" spans="1:28" ht="14.25">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c r="AA325" s="49"/>
      <c r="AB325" s="49"/>
    </row>
    <row r="326" spans="1:28" ht="14.25">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c r="AA326" s="49"/>
      <c r="AB326" s="49"/>
    </row>
    <row r="327" spans="1:28" ht="14.25">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c r="AA327" s="49"/>
      <c r="AB327" s="49"/>
    </row>
    <row r="328" spans="1:28" ht="14.25">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c r="AA328" s="49"/>
      <c r="AB328" s="49"/>
    </row>
    <row r="329" spans="1:28" ht="14.25">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c r="AA329" s="49"/>
      <c r="AB329" s="49"/>
    </row>
    <row r="330" spans="1:28" ht="14.25">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c r="AA330" s="49"/>
      <c r="AB330" s="49"/>
    </row>
    <row r="331" spans="1:28" ht="14.25">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c r="AA331" s="49"/>
      <c r="AB331" s="49"/>
    </row>
    <row r="332" spans="1:28" ht="14.25">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c r="AA332" s="49"/>
      <c r="AB332" s="49"/>
    </row>
    <row r="333" spans="1:28" ht="14.25">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c r="AA333" s="49"/>
      <c r="AB333" s="49"/>
    </row>
    <row r="334" spans="1:28" ht="14.25">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c r="AA334" s="49"/>
      <c r="AB334" s="49"/>
    </row>
    <row r="335" spans="1:28" ht="14.25">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c r="AA335" s="49"/>
      <c r="AB335" s="49"/>
    </row>
    <row r="336" spans="1:28" ht="14.25">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c r="AA336" s="49"/>
      <c r="AB336" s="49"/>
    </row>
    <row r="337" spans="1:28" ht="14.25">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c r="AA337" s="49"/>
      <c r="AB337" s="49"/>
    </row>
    <row r="338" spans="1:28" ht="14.25">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c r="AA338" s="49"/>
      <c r="AB338" s="49"/>
    </row>
    <row r="339" spans="1:28" ht="14.25">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c r="AA339" s="49"/>
      <c r="AB339" s="49"/>
    </row>
    <row r="340" spans="1:28" ht="14.25">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c r="AA340" s="49"/>
      <c r="AB340" s="49"/>
    </row>
    <row r="341" spans="1:28" ht="14.25">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c r="AA341" s="49"/>
      <c r="AB341" s="49"/>
    </row>
    <row r="342" spans="1:28" ht="14.25">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c r="AA342" s="49"/>
      <c r="AB342" s="49"/>
    </row>
    <row r="343" spans="1:28" ht="14.25">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c r="AA343" s="49"/>
      <c r="AB343" s="49"/>
    </row>
    <row r="344" spans="1:28" ht="14.25">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c r="AA344" s="49"/>
      <c r="AB344" s="49"/>
    </row>
    <row r="345" spans="1:28" ht="14.25">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c r="AA345" s="49"/>
      <c r="AB345" s="49"/>
    </row>
    <row r="346" spans="1:28" ht="14.25">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c r="AA346" s="49"/>
      <c r="AB346" s="49"/>
    </row>
    <row r="347" spans="1:28" ht="14.25">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c r="AA347" s="49"/>
      <c r="AB347" s="49"/>
    </row>
    <row r="348" spans="1:28" ht="14.25">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c r="AA348" s="49"/>
      <c r="AB348" s="49"/>
    </row>
    <row r="349" spans="1:28" ht="14.25">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c r="AA349" s="49"/>
      <c r="AB349" s="49"/>
    </row>
    <row r="350" spans="1:28" ht="14.25">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c r="AA350" s="49"/>
      <c r="AB350" s="49"/>
    </row>
    <row r="351" spans="1:28" ht="14.25">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c r="AA351" s="49"/>
      <c r="AB351" s="49"/>
    </row>
    <row r="352" spans="1:28" ht="14.25">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c r="AA352" s="49"/>
      <c r="AB352" s="49"/>
    </row>
    <row r="353" spans="1:28" ht="14.25">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c r="AA353" s="49"/>
      <c r="AB353" s="49"/>
    </row>
    <row r="354" spans="1:28" ht="14.25">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c r="AA354" s="49"/>
      <c r="AB354" s="49"/>
    </row>
    <row r="355" spans="1:28" ht="14.25">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c r="AA355" s="49"/>
      <c r="AB355" s="49"/>
    </row>
    <row r="356" spans="1:28" ht="14.25">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c r="AA356" s="49"/>
      <c r="AB356" s="49"/>
    </row>
    <row r="357" spans="1:28" ht="14.25">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c r="AA357" s="49"/>
      <c r="AB357" s="49"/>
    </row>
    <row r="358" spans="1:28" ht="14.25">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c r="AA358" s="49"/>
      <c r="AB358" s="49"/>
    </row>
    <row r="359" spans="1:28" ht="14.25">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c r="AA359" s="49"/>
      <c r="AB359" s="49"/>
    </row>
    <row r="360" spans="1:28" ht="14.25">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c r="AA360" s="49"/>
      <c r="AB360" s="49"/>
    </row>
    <row r="361" spans="1:28" ht="14.25">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c r="AA361" s="49"/>
      <c r="AB361" s="49"/>
    </row>
    <row r="362" spans="1:28" ht="14.25">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c r="AA362" s="49"/>
      <c r="AB362" s="49"/>
    </row>
    <row r="363" spans="1:28" ht="14.25">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c r="AA363" s="49"/>
      <c r="AB363" s="49"/>
    </row>
    <row r="364" spans="1:28" ht="14.25">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c r="AA364" s="49"/>
      <c r="AB364" s="49"/>
    </row>
    <row r="365" spans="1:28" ht="14.25">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c r="AA365" s="49"/>
      <c r="AB365" s="49"/>
    </row>
    <row r="366" spans="1:28" ht="14.25">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c r="AA366" s="49"/>
      <c r="AB366" s="49"/>
    </row>
    <row r="367" spans="1:28" ht="14.25">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c r="AA367" s="49"/>
      <c r="AB367" s="49"/>
    </row>
    <row r="368" spans="1:28" ht="14.25">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c r="AA368" s="49"/>
      <c r="AB368" s="49"/>
    </row>
    <row r="369" spans="1:28" ht="14.25">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c r="AA369" s="49"/>
      <c r="AB369" s="49"/>
    </row>
    <row r="370" spans="1:28" ht="14.25">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c r="AA370" s="49"/>
      <c r="AB370" s="49"/>
    </row>
    <row r="371" spans="1:28" ht="14.25">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c r="AA371" s="49"/>
      <c r="AB371" s="49"/>
    </row>
    <row r="372" spans="1:28" ht="14.25">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c r="AA372" s="49"/>
      <c r="AB372" s="49"/>
    </row>
    <row r="373" spans="1:28" ht="14.25">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c r="AA373" s="49"/>
      <c r="AB373" s="49"/>
    </row>
    <row r="374" spans="1:28" ht="14.25">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c r="AA374" s="49"/>
      <c r="AB374" s="49"/>
    </row>
    <row r="375" spans="1:28" ht="14.25">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c r="AA375" s="49"/>
      <c r="AB375" s="49"/>
    </row>
    <row r="376" spans="1:28" ht="14.25">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c r="AA376" s="49"/>
      <c r="AB376" s="49"/>
    </row>
    <row r="377" spans="1:28" ht="14.25">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c r="AA377" s="49"/>
      <c r="AB377" s="49"/>
    </row>
    <row r="378" spans="1:28" ht="14.25">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c r="AA378" s="49"/>
      <c r="AB378" s="49"/>
    </row>
    <row r="379" spans="1:28" ht="14.25">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c r="AA379" s="49"/>
      <c r="AB379" s="49"/>
    </row>
    <row r="380" spans="1:28" ht="14.25">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c r="AA380" s="49"/>
      <c r="AB380" s="49"/>
    </row>
    <row r="381" spans="1:28" ht="14.25">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c r="AA381" s="49"/>
      <c r="AB381" s="49"/>
    </row>
    <row r="382" spans="1:28" ht="14.25">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c r="AA382" s="49"/>
      <c r="AB382" s="49"/>
    </row>
    <row r="383" spans="1:28" ht="14.25">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c r="AA383" s="49"/>
      <c r="AB383" s="49"/>
    </row>
    <row r="384" spans="1:28" ht="14.25">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c r="AA384" s="49"/>
      <c r="AB384" s="49"/>
    </row>
    <row r="385" spans="1:28" ht="14.25">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c r="AA385" s="49"/>
      <c r="AB385" s="49"/>
    </row>
    <row r="386" spans="1:28" ht="14.25">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c r="AA386" s="49"/>
      <c r="AB386" s="49"/>
    </row>
    <row r="387" spans="1:28" ht="14.25">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row>
    <row r="388" spans="1:28" ht="14.25">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c r="AA388" s="49"/>
      <c r="AB388" s="49"/>
    </row>
    <row r="389" spans="1:28" ht="14.25">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c r="AA389" s="49"/>
      <c r="AB389" s="49"/>
    </row>
    <row r="390" spans="1:28" ht="14.25">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c r="AA390" s="49"/>
      <c r="AB390" s="49"/>
    </row>
    <row r="391" spans="1:28" ht="14.25">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c r="AA391" s="49"/>
      <c r="AB391" s="49"/>
    </row>
    <row r="392" spans="1:28" ht="14.25">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c r="AA392" s="49"/>
      <c r="AB392" s="49"/>
    </row>
    <row r="393" spans="1:28" ht="14.25">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c r="AA393" s="49"/>
      <c r="AB393" s="49"/>
    </row>
    <row r="394" spans="1:28" ht="14.25">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c r="AA394" s="49"/>
      <c r="AB394" s="49"/>
    </row>
    <row r="395" spans="1:28" ht="14.25">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c r="AA395" s="49"/>
      <c r="AB395" s="49"/>
    </row>
    <row r="396" spans="1:28" ht="14.25">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c r="AA396" s="49"/>
      <c r="AB396" s="49"/>
    </row>
    <row r="397" spans="1:28" ht="14.25">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c r="AA397" s="49"/>
      <c r="AB397" s="49"/>
    </row>
    <row r="398" spans="1:28" ht="14.25">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c r="AA398" s="49"/>
      <c r="AB398" s="49"/>
    </row>
    <row r="399" spans="1:28" ht="14.25">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c r="AA399" s="49"/>
      <c r="AB399" s="49"/>
    </row>
    <row r="400" spans="1:28" ht="14.25">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c r="AA400" s="49"/>
      <c r="AB400" s="49"/>
    </row>
    <row r="401" spans="1:28" ht="14.25">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c r="AA401" s="49"/>
      <c r="AB401" s="49"/>
    </row>
    <row r="402" spans="1:28" ht="14.25">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c r="AA402" s="49"/>
      <c r="AB402" s="49"/>
    </row>
    <row r="403" spans="1:28" ht="14.25">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c r="AA403" s="49"/>
      <c r="AB403" s="49"/>
    </row>
    <row r="404" spans="1:28" ht="14.25">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c r="AA404" s="49"/>
      <c r="AB404" s="49"/>
    </row>
    <row r="405" spans="1:28" ht="14.25">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c r="AA405" s="49"/>
      <c r="AB405" s="49"/>
    </row>
    <row r="406" spans="1:28" ht="14.25">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c r="AA406" s="49"/>
      <c r="AB406" s="49"/>
    </row>
    <row r="407" spans="1:28" ht="14.25">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c r="AA407" s="49"/>
      <c r="AB407" s="49"/>
    </row>
    <row r="408" spans="1:28" ht="14.25">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c r="AA408" s="49"/>
      <c r="AB408" s="49"/>
    </row>
    <row r="409" spans="1:28" ht="14.25">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c r="AA409" s="49"/>
      <c r="AB409" s="49"/>
    </row>
    <row r="410" spans="1:28" ht="14.25">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c r="AA410" s="49"/>
      <c r="AB410" s="49"/>
    </row>
    <row r="411" spans="1:28" ht="14.25">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c r="AA411" s="49"/>
      <c r="AB411" s="49"/>
    </row>
    <row r="412" spans="1:28" ht="14.25">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c r="AA412" s="49"/>
      <c r="AB412" s="49"/>
    </row>
    <row r="413" spans="1:28" ht="14.25">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c r="AA413" s="49"/>
      <c r="AB413" s="49"/>
    </row>
    <row r="414" spans="1:28" ht="14.25">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c r="AA414" s="49"/>
      <c r="AB414" s="49"/>
    </row>
    <row r="415" spans="1:28" ht="14.25">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c r="AA415" s="49"/>
      <c r="AB415" s="49"/>
    </row>
    <row r="416" spans="1:28" ht="14.25">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c r="AA416" s="49"/>
      <c r="AB416" s="49"/>
    </row>
    <row r="417" spans="1:28" ht="14.25">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c r="AA417" s="49"/>
      <c r="AB417" s="49"/>
    </row>
    <row r="418" spans="1:28" ht="14.25">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c r="AA418" s="49"/>
      <c r="AB418" s="49"/>
    </row>
    <row r="419" spans="1:28" ht="14.25">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c r="AA419" s="49"/>
      <c r="AB419" s="49"/>
    </row>
    <row r="420" spans="1:28" ht="14.25">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c r="AA420" s="49"/>
      <c r="AB420" s="49"/>
    </row>
    <row r="421" spans="1:28" ht="14.25">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c r="AA421" s="49"/>
      <c r="AB421" s="49"/>
    </row>
    <row r="422" spans="1:28" ht="14.25">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c r="AA422" s="49"/>
      <c r="AB422" s="49"/>
    </row>
    <row r="423" spans="1:28" ht="14.25">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c r="AA423" s="49"/>
      <c r="AB423" s="49"/>
    </row>
    <row r="424" spans="1:28" ht="14.25">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c r="AA424" s="49"/>
      <c r="AB424" s="49"/>
    </row>
    <row r="425" spans="1:28" ht="14.25">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c r="AA425" s="49"/>
      <c r="AB425" s="49"/>
    </row>
    <row r="426" spans="1:28" ht="14.25">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c r="AA426" s="49"/>
      <c r="AB426" s="49"/>
    </row>
    <row r="427" spans="1:28" ht="14.25">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c r="AA427" s="49"/>
      <c r="AB427" s="49"/>
    </row>
    <row r="428" spans="1:28" ht="14.25">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c r="AA428" s="49"/>
      <c r="AB428" s="49"/>
    </row>
    <row r="429" spans="1:28" ht="14.25">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c r="AA429" s="49"/>
      <c r="AB429" s="49"/>
    </row>
    <row r="430" spans="1:28" ht="14.25">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c r="AA430" s="49"/>
      <c r="AB430" s="49"/>
    </row>
    <row r="431" spans="1:28" ht="14.25">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c r="AA431" s="49"/>
      <c r="AB431" s="49"/>
    </row>
    <row r="432" spans="1:28" ht="14.25">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c r="AA432" s="49"/>
      <c r="AB432" s="49"/>
    </row>
    <row r="433" spans="1:28" ht="14.25">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c r="AA433" s="49"/>
      <c r="AB433" s="49"/>
    </row>
    <row r="434" spans="1:28" ht="14.25">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c r="AA434" s="49"/>
      <c r="AB434" s="49"/>
    </row>
    <row r="435" spans="1:28" ht="14.25">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c r="AA435" s="49"/>
      <c r="AB435" s="49"/>
    </row>
    <row r="436" spans="1:28" ht="14.25">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c r="AA436" s="49"/>
      <c r="AB436" s="49"/>
    </row>
    <row r="437" spans="1:28" ht="14.25">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c r="AA437" s="49"/>
      <c r="AB437" s="49"/>
    </row>
    <row r="438" spans="1:28" ht="14.25">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c r="AA438" s="49"/>
      <c r="AB438" s="49"/>
    </row>
    <row r="439" spans="1:28" ht="14.25">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c r="AA439" s="49"/>
      <c r="AB439" s="49"/>
    </row>
    <row r="440" spans="1:28" ht="14.25">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c r="AA440" s="49"/>
      <c r="AB440" s="49"/>
    </row>
    <row r="441" spans="1:28" ht="14.25">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c r="AA441" s="49"/>
      <c r="AB441" s="49"/>
    </row>
    <row r="442" spans="1:28" ht="14.25">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c r="AA442" s="49"/>
      <c r="AB442" s="49"/>
    </row>
    <row r="443" spans="1:28" ht="14.25">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c r="AA443" s="49"/>
      <c r="AB443" s="49"/>
    </row>
    <row r="444" spans="1:28" ht="14.25">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c r="AA444" s="49"/>
      <c r="AB444" s="49"/>
    </row>
    <row r="445" spans="1:28" ht="14.25">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c r="AA445" s="49"/>
      <c r="AB445" s="49"/>
    </row>
    <row r="446" spans="1:28" ht="14.25">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c r="AA446" s="49"/>
      <c r="AB446" s="49"/>
    </row>
    <row r="447" spans="1:28" ht="14.25">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c r="AA447" s="49"/>
      <c r="AB447" s="49"/>
    </row>
    <row r="448" spans="1:28" ht="14.25">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c r="AA448" s="49"/>
      <c r="AB448" s="49"/>
    </row>
    <row r="449" spans="1:28" ht="14.25">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c r="AA449" s="49"/>
      <c r="AB449" s="49"/>
    </row>
    <row r="450" spans="1:28" ht="14.25">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c r="AA450" s="49"/>
      <c r="AB450" s="49"/>
    </row>
    <row r="451" spans="1:28" ht="14.25">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c r="AA451" s="49"/>
      <c r="AB451" s="49"/>
    </row>
    <row r="452" spans="1:28" ht="14.25">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c r="AA452" s="49"/>
      <c r="AB452" s="49"/>
    </row>
    <row r="453" spans="1:28" ht="14.25">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c r="AA453" s="49"/>
      <c r="AB453" s="49"/>
    </row>
    <row r="454" spans="1:28" ht="14.25">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c r="AA454" s="49"/>
      <c r="AB454" s="49"/>
    </row>
    <row r="455" spans="1:28" ht="14.25">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c r="AA455" s="49"/>
      <c r="AB455" s="49"/>
    </row>
    <row r="456" spans="1:28" ht="14.25">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c r="AA456" s="49"/>
      <c r="AB456" s="49"/>
    </row>
    <row r="457" spans="1:28" ht="14.25">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c r="AA457" s="49"/>
      <c r="AB457" s="49"/>
    </row>
    <row r="458" spans="1:28" ht="14.25">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c r="AA458" s="49"/>
      <c r="AB458" s="49"/>
    </row>
    <row r="459" spans="1:28" ht="14.25">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c r="AA459" s="49"/>
      <c r="AB459" s="49"/>
    </row>
    <row r="460" spans="1:28" ht="14.25">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c r="AA460" s="49"/>
      <c r="AB460" s="49"/>
    </row>
    <row r="461" spans="1:28" ht="14.25">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c r="AA461" s="49"/>
      <c r="AB461" s="49"/>
    </row>
    <row r="462" spans="1:28" ht="14.25">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c r="AA462" s="49"/>
      <c r="AB462" s="49"/>
    </row>
    <row r="463" spans="1:28" ht="14.25">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c r="AA463" s="49"/>
      <c r="AB463" s="49"/>
    </row>
    <row r="464" spans="1:28" ht="14.25">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c r="AA464" s="49"/>
      <c r="AB464" s="49"/>
    </row>
    <row r="465" spans="1:28" ht="14.25">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c r="AA465" s="49"/>
      <c r="AB465" s="49"/>
    </row>
    <row r="466" spans="1:28" ht="14.25">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c r="AA466" s="49"/>
      <c r="AB466" s="49"/>
    </row>
    <row r="467" spans="1:28" ht="14.25">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c r="AA467" s="49"/>
      <c r="AB467" s="49"/>
    </row>
    <row r="468" spans="1:28" ht="14.25">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c r="AA468" s="49"/>
      <c r="AB468" s="49"/>
    </row>
    <row r="469" spans="1:28" ht="14.25">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c r="AA469" s="49"/>
      <c r="AB469" s="49"/>
    </row>
    <row r="470" spans="1:28" ht="14.25">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c r="AA470" s="49"/>
      <c r="AB470" s="49"/>
    </row>
    <row r="471" spans="1:28" ht="14.25">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c r="AA471" s="49"/>
      <c r="AB471" s="49"/>
    </row>
    <row r="472" spans="1:28" ht="14.25">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c r="AA472" s="49"/>
      <c r="AB472" s="49"/>
    </row>
    <row r="473" spans="1:28" ht="14.25">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c r="AA473" s="49"/>
      <c r="AB473" s="49"/>
    </row>
    <row r="474" spans="1:28" ht="14.25">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c r="AA474" s="49"/>
      <c r="AB474" s="49"/>
    </row>
    <row r="475" spans="1:28" ht="14.25">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c r="AA475" s="49"/>
      <c r="AB475" s="49"/>
    </row>
    <row r="476" spans="1:28" ht="14.25">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c r="AA476" s="49"/>
      <c r="AB476" s="49"/>
    </row>
    <row r="477" spans="1:28" ht="14.25">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c r="AA477" s="49"/>
      <c r="AB477" s="49"/>
    </row>
    <row r="478" spans="1:28" ht="14.25">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c r="AA478" s="49"/>
      <c r="AB478" s="49"/>
    </row>
    <row r="479" spans="1:28" ht="14.25">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c r="AA479" s="49"/>
      <c r="AB479" s="49"/>
    </row>
    <row r="480" spans="1:28" ht="14.25">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c r="AA480" s="49"/>
      <c r="AB480" s="49"/>
    </row>
    <row r="481" spans="1:28" ht="14.25">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c r="AA481" s="49"/>
      <c r="AB481" s="49"/>
    </row>
    <row r="482" spans="1:28" ht="14.25">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c r="AA482" s="49"/>
      <c r="AB482" s="49"/>
    </row>
    <row r="483" spans="1:28" ht="14.25">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c r="AA483" s="49"/>
      <c r="AB483" s="49"/>
    </row>
    <row r="484" spans="1:28" ht="14.25">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c r="AA484" s="49"/>
      <c r="AB484" s="49"/>
    </row>
    <row r="485" spans="1:28" ht="14.25">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c r="AA485" s="49"/>
      <c r="AB485" s="49"/>
    </row>
    <row r="486" spans="1:28" ht="14.25">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c r="AA486" s="49"/>
      <c r="AB486" s="49"/>
    </row>
    <row r="487" spans="1:28" ht="14.25">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c r="AA487" s="49"/>
      <c r="AB487" s="49"/>
    </row>
    <row r="488" spans="1:28" ht="14.25">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c r="AA488" s="49"/>
      <c r="AB488" s="49"/>
    </row>
    <row r="489" spans="1:28" ht="14.25">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c r="AA489" s="49"/>
      <c r="AB489" s="49"/>
    </row>
    <row r="490" spans="1:28" ht="14.25">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c r="AA490" s="49"/>
      <c r="AB490" s="49"/>
    </row>
    <row r="491" spans="1:28" ht="14.25">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c r="AA491" s="49"/>
      <c r="AB491" s="49"/>
    </row>
    <row r="492" spans="1:28" ht="14.25">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c r="AA492" s="49"/>
      <c r="AB492" s="49"/>
    </row>
    <row r="493" spans="1:28" ht="14.25">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c r="AA493" s="49"/>
      <c r="AB493" s="49"/>
    </row>
    <row r="494" spans="1:28" ht="14.25">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c r="AA494" s="49"/>
      <c r="AB494" s="49"/>
    </row>
    <row r="495" spans="1:28" ht="14.25">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c r="AA495" s="49"/>
      <c r="AB495" s="49"/>
    </row>
    <row r="496" spans="1:28" ht="14.25">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c r="AA496" s="49"/>
      <c r="AB496" s="49"/>
    </row>
    <row r="497" spans="1:28" ht="14.25">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c r="AA497" s="49"/>
      <c r="AB497" s="49"/>
    </row>
    <row r="498" spans="1:28" ht="14.25">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c r="AA498" s="49"/>
      <c r="AB498" s="49"/>
    </row>
    <row r="499" spans="1:28" ht="14.25">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c r="AA499" s="49"/>
      <c r="AB499" s="49"/>
    </row>
    <row r="500" spans="1:28" ht="14.25">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c r="AA500" s="49"/>
      <c r="AB500" s="49"/>
    </row>
    <row r="501" spans="1:28" ht="14.25">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c r="AA501" s="49"/>
      <c r="AB501" s="49"/>
    </row>
    <row r="502" spans="1:28" ht="14.25">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c r="AA502" s="49"/>
      <c r="AB502" s="49"/>
    </row>
    <row r="503" spans="1:28" ht="14.25">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c r="AA503" s="49"/>
      <c r="AB503" s="49"/>
    </row>
    <row r="504" spans="1:28" ht="14.25">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c r="AA504" s="49"/>
      <c r="AB504" s="49"/>
    </row>
    <row r="505" spans="1:28" ht="14.25">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c r="AA505" s="49"/>
      <c r="AB505" s="49"/>
    </row>
    <row r="506" spans="1:28" ht="14.25">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c r="AA506" s="49"/>
      <c r="AB506" s="49"/>
    </row>
    <row r="507" spans="1:28" ht="14.25">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c r="AA507" s="49"/>
      <c r="AB507" s="49"/>
    </row>
    <row r="508" spans="1:28" ht="14.25">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c r="AA508" s="49"/>
      <c r="AB508" s="49"/>
    </row>
    <row r="509" spans="1:28" ht="14.25">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c r="AA509" s="49"/>
      <c r="AB509" s="49"/>
    </row>
    <row r="510" spans="1:28" ht="14.25">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c r="AA510" s="49"/>
      <c r="AB510" s="49"/>
    </row>
    <row r="511" spans="1:28" ht="14.25">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c r="AA511" s="49"/>
      <c r="AB511" s="49"/>
    </row>
    <row r="512" spans="1:28" ht="14.25">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c r="AA512" s="49"/>
      <c r="AB512" s="49"/>
    </row>
    <row r="513" spans="1:28" ht="14.25">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c r="AA513" s="49"/>
      <c r="AB513" s="49"/>
    </row>
    <row r="514" spans="1:28" ht="14.25">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c r="AA514" s="49"/>
      <c r="AB514" s="49"/>
    </row>
    <row r="515" spans="1:28" ht="14.25">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c r="AA515" s="49"/>
      <c r="AB515" s="49"/>
    </row>
    <row r="516" spans="1:28" ht="14.25">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c r="AA516" s="49"/>
      <c r="AB516" s="49"/>
    </row>
    <row r="517" spans="1:28" ht="14.25">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c r="AA517" s="49"/>
      <c r="AB517" s="49"/>
    </row>
    <row r="518" spans="1:28" ht="14.25">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c r="AA518" s="49"/>
      <c r="AB518" s="49"/>
    </row>
    <row r="519" spans="1:28" ht="14.25">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c r="AA519" s="49"/>
      <c r="AB519" s="49"/>
    </row>
    <row r="520" spans="1:28" ht="14.25">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c r="AA520" s="49"/>
      <c r="AB520" s="49"/>
    </row>
    <row r="521" spans="1:28" ht="14.25">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c r="AA521" s="49"/>
      <c r="AB521" s="49"/>
    </row>
    <row r="522" spans="1:28" ht="14.25">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c r="AA522" s="49"/>
      <c r="AB522" s="49"/>
    </row>
    <row r="523" spans="1:28" ht="14.25">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c r="AA523" s="49"/>
      <c r="AB523" s="49"/>
    </row>
    <row r="524" spans="1:28" ht="14.25">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c r="AA524" s="49"/>
      <c r="AB524" s="49"/>
    </row>
    <row r="525" spans="1:28" ht="14.25">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c r="AA525" s="49"/>
      <c r="AB525" s="49"/>
    </row>
    <row r="526" spans="1:28" ht="14.25">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c r="AA526" s="49"/>
      <c r="AB526" s="49"/>
    </row>
    <row r="527" spans="1:28" ht="14.25">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c r="AA527" s="49"/>
      <c r="AB527" s="49"/>
    </row>
    <row r="528" spans="1:28" ht="14.25">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c r="AA528" s="49"/>
      <c r="AB528" s="49"/>
    </row>
    <row r="529" spans="1:28" ht="14.25">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c r="AA529" s="49"/>
      <c r="AB529" s="49"/>
    </row>
    <row r="530" spans="1:28" ht="14.25">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c r="AA530" s="49"/>
      <c r="AB530" s="49"/>
    </row>
    <row r="531" spans="1:28" ht="14.25">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c r="AA531" s="49"/>
      <c r="AB531" s="49"/>
    </row>
    <row r="532" spans="1:28" ht="14.25">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c r="AA532" s="49"/>
      <c r="AB532" s="49"/>
    </row>
    <row r="533" spans="1:28" ht="14.25">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c r="AA533" s="49"/>
      <c r="AB533" s="49"/>
    </row>
    <row r="534" spans="1:28" ht="14.25">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c r="AA534" s="49"/>
      <c r="AB534" s="49"/>
    </row>
    <row r="535" spans="1:28" ht="14.25">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c r="AA535" s="49"/>
      <c r="AB535" s="49"/>
    </row>
    <row r="536" spans="1:28" ht="14.25">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c r="AA536" s="49"/>
      <c r="AB536" s="49"/>
    </row>
    <row r="537" spans="1:28" ht="14.25">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c r="AA537" s="49"/>
      <c r="AB537" s="49"/>
    </row>
    <row r="538" spans="1:28" ht="14.25">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c r="AA538" s="49"/>
      <c r="AB538" s="49"/>
    </row>
    <row r="539" spans="1:28" ht="14.25">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c r="AA539" s="49"/>
      <c r="AB539" s="49"/>
    </row>
    <row r="540" spans="1:28" ht="14.25">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c r="AA540" s="49"/>
      <c r="AB540" s="49"/>
    </row>
    <row r="541" spans="1:28" ht="14.25">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c r="AA541" s="49"/>
      <c r="AB541" s="49"/>
    </row>
    <row r="542" spans="1:28" ht="14.25">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c r="AA542" s="49"/>
      <c r="AB542" s="49"/>
    </row>
    <row r="543" spans="1:28" ht="14.25">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c r="AA543" s="49"/>
      <c r="AB543" s="49"/>
    </row>
    <row r="544" spans="1:28" ht="14.25">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c r="AA544" s="49"/>
      <c r="AB544" s="49"/>
    </row>
    <row r="545" spans="1:28" ht="14.25">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c r="AA545" s="49"/>
      <c r="AB545" s="49"/>
    </row>
    <row r="546" spans="1:28" ht="14.25">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c r="AA546" s="49"/>
      <c r="AB546" s="49"/>
    </row>
    <row r="547" spans="1:28" ht="14.25">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c r="AA547" s="49"/>
      <c r="AB547" s="49"/>
    </row>
    <row r="548" spans="1:28" ht="14.25">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c r="AA548" s="49"/>
      <c r="AB548" s="49"/>
    </row>
    <row r="549" spans="1:28" ht="14.25">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c r="AA549" s="49"/>
      <c r="AB549" s="49"/>
    </row>
    <row r="550" spans="1:28" ht="14.25">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c r="AA550" s="49"/>
      <c r="AB550" s="49"/>
    </row>
    <row r="551" spans="1:28" ht="14.25">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c r="AA551" s="49"/>
      <c r="AB551" s="49"/>
    </row>
    <row r="552" spans="1:28" ht="14.25">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c r="AA552" s="49"/>
      <c r="AB552" s="49"/>
    </row>
    <row r="553" spans="1:28" ht="14.25">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c r="AA553" s="49"/>
      <c r="AB553" s="49"/>
    </row>
    <row r="554" spans="1:28" ht="14.25">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c r="AA554" s="49"/>
      <c r="AB554" s="49"/>
    </row>
    <row r="555" spans="1:28" ht="14.25">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c r="AA555" s="49"/>
      <c r="AB555" s="49"/>
    </row>
    <row r="556" spans="1:28" ht="14.25">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c r="AA556" s="49"/>
      <c r="AB556" s="49"/>
    </row>
    <row r="557" spans="1:28" ht="14.25">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c r="AA557" s="49"/>
      <c r="AB557" s="49"/>
    </row>
    <row r="558" spans="1:28" ht="14.25">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c r="AA558" s="49"/>
      <c r="AB558" s="49"/>
    </row>
    <row r="559" spans="1:28" ht="14.25">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c r="AA559" s="49"/>
      <c r="AB559" s="49"/>
    </row>
    <row r="560" spans="1:28" ht="14.25">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c r="AA560" s="49"/>
      <c r="AB560" s="49"/>
    </row>
    <row r="561" spans="1:28" ht="14.25">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c r="AA561" s="49"/>
      <c r="AB561" s="49"/>
    </row>
    <row r="562" spans="1:28" ht="14.25">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c r="AA562" s="49"/>
      <c r="AB562" s="49"/>
    </row>
    <row r="563" spans="1:28" ht="14.25">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c r="AA563" s="49"/>
      <c r="AB563" s="49"/>
    </row>
    <row r="564" spans="1:28" ht="14.25">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c r="AA564" s="49"/>
      <c r="AB564" s="49"/>
    </row>
    <row r="565" spans="1:28" ht="14.25">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c r="AA565" s="49"/>
      <c r="AB565" s="49"/>
    </row>
    <row r="566" spans="1:28" ht="14.25">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c r="AA566" s="49"/>
      <c r="AB566" s="49"/>
    </row>
    <row r="567" spans="1:28" ht="14.25">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c r="AA567" s="49"/>
      <c r="AB567" s="49"/>
    </row>
    <row r="568" spans="1:28" ht="14.25">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c r="AA568" s="49"/>
      <c r="AB568" s="49"/>
    </row>
    <row r="569" spans="1:28" ht="14.25">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c r="AA569" s="49"/>
      <c r="AB569" s="49"/>
    </row>
    <row r="570" spans="1:28" ht="14.25">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c r="AA570" s="49"/>
      <c r="AB570" s="49"/>
    </row>
    <row r="571" spans="1:28" ht="14.25">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c r="AA571" s="49"/>
      <c r="AB571" s="49"/>
    </row>
    <row r="572" spans="1:28" ht="14.25">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c r="AA572" s="49"/>
      <c r="AB572" s="49"/>
    </row>
    <row r="573" spans="1:28" ht="14.25">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c r="AA573" s="49"/>
      <c r="AB573" s="49"/>
    </row>
    <row r="574" spans="1:28" ht="14.25">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c r="AA574" s="49"/>
      <c r="AB574" s="49"/>
    </row>
    <row r="575" spans="1:28" ht="14.25">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c r="AA575" s="49"/>
      <c r="AB575" s="49"/>
    </row>
    <row r="576" spans="1:28" ht="14.25">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c r="AA576" s="49"/>
      <c r="AB576" s="49"/>
    </row>
    <row r="577" spans="1:28" ht="14.25">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c r="AA577" s="49"/>
      <c r="AB577" s="49"/>
    </row>
    <row r="578" spans="1:28" ht="14.25">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c r="AA578" s="49"/>
      <c r="AB578" s="49"/>
    </row>
    <row r="579" spans="1:28" ht="14.25">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c r="AA579" s="49"/>
      <c r="AB579" s="49"/>
    </row>
    <row r="580" spans="1:28" ht="14.25">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c r="AA580" s="49"/>
      <c r="AB580" s="49"/>
    </row>
    <row r="581" spans="1:28" ht="14.25">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c r="AA581" s="49"/>
      <c r="AB581" s="49"/>
    </row>
    <row r="582" spans="1:28" ht="14.25">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c r="AA582" s="49"/>
      <c r="AB582" s="49"/>
    </row>
    <row r="583" spans="1:28" ht="14.25">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c r="AA583" s="49"/>
      <c r="AB583" s="49"/>
    </row>
    <row r="584" spans="1:28" ht="14.25">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c r="AA584" s="49"/>
      <c r="AB584" s="49"/>
    </row>
    <row r="585" spans="1:28" ht="14.25">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c r="AA585" s="49"/>
      <c r="AB585" s="49"/>
    </row>
    <row r="586" spans="1:28" ht="14.25">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c r="AA586" s="49"/>
      <c r="AB586" s="49"/>
    </row>
    <row r="587" spans="1:28" ht="14.25">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c r="AA587" s="49"/>
      <c r="AB587" s="49"/>
    </row>
    <row r="588" spans="1:28" ht="14.25">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c r="AA588" s="49"/>
      <c r="AB588" s="49"/>
    </row>
    <row r="589" spans="1:28" ht="14.25">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c r="AA589" s="49"/>
      <c r="AB589" s="49"/>
    </row>
    <row r="590" spans="1:28" ht="14.25">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c r="AA590" s="49"/>
      <c r="AB590" s="49"/>
    </row>
    <row r="591" spans="1:28" ht="14.25">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c r="AA591" s="49"/>
      <c r="AB591" s="49"/>
    </row>
    <row r="592" spans="1:28" ht="14.25">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c r="AA592" s="49"/>
      <c r="AB592" s="49"/>
    </row>
    <row r="593" spans="1:28" ht="14.25">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c r="AA593" s="49"/>
      <c r="AB593" s="49"/>
    </row>
    <row r="594" spans="1:28" ht="14.25">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c r="AA594" s="49"/>
      <c r="AB594" s="49"/>
    </row>
    <row r="595" spans="1:28" ht="14.25">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c r="AA595" s="49"/>
      <c r="AB595" s="49"/>
    </row>
    <row r="596" spans="1:28" ht="14.25">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c r="AA596" s="49"/>
      <c r="AB596" s="49"/>
    </row>
    <row r="597" spans="1:28" ht="14.25">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c r="AA597" s="49"/>
      <c r="AB597" s="49"/>
    </row>
    <row r="598" spans="1:28" ht="14.25">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c r="AA598" s="49"/>
      <c r="AB598" s="49"/>
    </row>
    <row r="599" spans="1:28" ht="14.25">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c r="AA599" s="49"/>
      <c r="AB599" s="49"/>
    </row>
    <row r="600" spans="1:28" ht="14.25">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c r="AA600" s="49"/>
      <c r="AB600" s="49"/>
    </row>
    <row r="601" spans="1:28" ht="14.25">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c r="AA601" s="49"/>
      <c r="AB601" s="49"/>
    </row>
    <row r="602" spans="1:28" ht="14.25">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c r="AA602" s="49"/>
      <c r="AB602" s="49"/>
    </row>
    <row r="603" spans="1:28" ht="14.25">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c r="AA603" s="49"/>
      <c r="AB603" s="49"/>
    </row>
    <row r="604" spans="1:28" ht="14.25">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c r="AA604" s="49"/>
      <c r="AB604" s="49"/>
    </row>
    <row r="605" spans="1:28" ht="14.25">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c r="AA605" s="49"/>
      <c r="AB605" s="49"/>
    </row>
    <row r="606" spans="1:28" ht="14.25">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c r="AA606" s="49"/>
      <c r="AB606" s="49"/>
    </row>
    <row r="607" spans="1:28" ht="14.25">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c r="AA607" s="49"/>
      <c r="AB607" s="49"/>
    </row>
    <row r="608" spans="1:28" ht="14.25">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c r="AA608" s="49"/>
      <c r="AB608" s="49"/>
    </row>
    <row r="609" spans="1:28" ht="14.25">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c r="AA609" s="49"/>
      <c r="AB609" s="49"/>
    </row>
    <row r="610" spans="1:28" ht="14.25">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c r="AA610" s="49"/>
      <c r="AB610" s="49"/>
    </row>
    <row r="611" spans="1:28" ht="14.25">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c r="AA611" s="49"/>
      <c r="AB611" s="49"/>
    </row>
    <row r="612" spans="1:28" ht="14.25">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c r="AA612" s="49"/>
      <c r="AB612" s="49"/>
    </row>
    <row r="613" spans="1:28" ht="14.25">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c r="AA613" s="49"/>
      <c r="AB613" s="49"/>
    </row>
    <row r="614" spans="1:28" ht="14.25">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c r="AA614" s="49"/>
      <c r="AB614" s="49"/>
    </row>
    <row r="615" spans="1:28" ht="14.25">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c r="AA615" s="49"/>
      <c r="AB615" s="49"/>
    </row>
    <row r="616" spans="1:28" ht="14.25">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c r="AA616" s="49"/>
      <c r="AB616" s="49"/>
    </row>
    <row r="617" spans="1:28" ht="14.25">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c r="AA617" s="49"/>
      <c r="AB617" s="49"/>
    </row>
    <row r="618" spans="1:28" ht="14.25">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c r="AA618" s="49"/>
      <c r="AB618" s="49"/>
    </row>
    <row r="619" spans="1:28" ht="14.25">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c r="AA619" s="49"/>
      <c r="AB619" s="49"/>
    </row>
    <row r="620" spans="1:28" ht="14.25">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c r="AA620" s="49"/>
      <c r="AB620" s="49"/>
    </row>
    <row r="621" spans="1:28" ht="14.25">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c r="AA621" s="49"/>
      <c r="AB621" s="49"/>
    </row>
    <row r="622" spans="1:28" ht="14.25">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c r="AA622" s="49"/>
      <c r="AB622" s="49"/>
    </row>
    <row r="623" spans="1:28" ht="14.25">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c r="AA623" s="49"/>
      <c r="AB623" s="49"/>
    </row>
    <row r="624" spans="1:28" ht="14.25">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c r="AA624" s="49"/>
      <c r="AB624" s="49"/>
    </row>
    <row r="625" spans="1:28" ht="14.25">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c r="AA625" s="49"/>
      <c r="AB625" s="49"/>
    </row>
    <row r="626" spans="1:28" ht="14.25">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c r="AA626" s="49"/>
      <c r="AB626" s="49"/>
    </row>
    <row r="627" spans="1:28" ht="14.25">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c r="AA627" s="49"/>
      <c r="AB627" s="49"/>
    </row>
    <row r="628" spans="1:28" ht="14.25">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c r="AA628" s="49"/>
      <c r="AB628" s="49"/>
    </row>
    <row r="629" spans="1:28" ht="14.25">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c r="AA629" s="49"/>
      <c r="AB629" s="49"/>
    </row>
    <row r="630" spans="1:28" ht="14.25">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c r="AA630" s="49"/>
      <c r="AB630" s="49"/>
    </row>
    <row r="631" spans="1:28" ht="14.25">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c r="AA631" s="49"/>
      <c r="AB631" s="49"/>
    </row>
    <row r="632" spans="1:28" ht="14.25">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c r="AA632" s="49"/>
      <c r="AB632" s="49"/>
    </row>
    <row r="633" spans="1:28" ht="14.25">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c r="AA633" s="49"/>
      <c r="AB633" s="49"/>
    </row>
    <row r="634" spans="1:28" ht="14.25">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c r="AA634" s="49"/>
      <c r="AB634" s="49"/>
    </row>
    <row r="635" spans="1:28" ht="14.25">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c r="AA635" s="49"/>
      <c r="AB635" s="49"/>
    </row>
    <row r="636" spans="1:28" ht="14.25">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c r="AA636" s="49"/>
      <c r="AB636" s="49"/>
    </row>
    <row r="637" spans="1:28" ht="14.25">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c r="AA637" s="49"/>
      <c r="AB637" s="49"/>
    </row>
    <row r="638" spans="1:28" ht="14.25">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c r="AA638" s="49"/>
      <c r="AB638" s="49"/>
    </row>
    <row r="639" spans="1:28" ht="14.25">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c r="AA639" s="49"/>
      <c r="AB639" s="49"/>
    </row>
    <row r="640" spans="1:28" ht="14.25">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c r="AA640" s="49"/>
      <c r="AB640" s="49"/>
    </row>
    <row r="641" spans="1:28" ht="14.25">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c r="AA641" s="49"/>
      <c r="AB641" s="49"/>
    </row>
    <row r="642" spans="1:28" ht="14.25">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c r="AA642" s="49"/>
      <c r="AB642" s="49"/>
    </row>
    <row r="643" spans="1:28" ht="14.25">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c r="AA643" s="49"/>
      <c r="AB643" s="49"/>
    </row>
    <row r="644" spans="1:28" ht="14.25">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c r="AA644" s="49"/>
      <c r="AB644" s="49"/>
    </row>
    <row r="645" spans="1:28" ht="14.25">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c r="AA645" s="49"/>
      <c r="AB645" s="49"/>
    </row>
    <row r="646" spans="1:28" ht="14.25">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c r="AA646" s="49"/>
      <c r="AB646" s="49"/>
    </row>
    <row r="647" spans="1:28" ht="14.25">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c r="AA647" s="49"/>
      <c r="AB647" s="49"/>
    </row>
    <row r="648" spans="1:28" ht="14.25">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c r="AA648" s="49"/>
      <c r="AB648" s="49"/>
    </row>
    <row r="649" spans="1:28" ht="14.25">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c r="AA649" s="49"/>
      <c r="AB649" s="49"/>
    </row>
    <row r="650" spans="1:28" ht="14.25">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c r="AA650" s="49"/>
      <c r="AB650" s="49"/>
    </row>
    <row r="651" spans="1:28" ht="14.25">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c r="AA651" s="49"/>
      <c r="AB651" s="49"/>
    </row>
    <row r="652" spans="1:28" ht="14.25">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c r="AA652" s="49"/>
      <c r="AB652" s="49"/>
    </row>
    <row r="653" spans="1:28" ht="14.25">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c r="AA653" s="49"/>
      <c r="AB653" s="49"/>
    </row>
    <row r="654" spans="1:28" ht="14.25">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c r="AA654" s="49"/>
      <c r="AB654" s="49"/>
    </row>
    <row r="655" spans="1:28" ht="14.25">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c r="AA655" s="49"/>
      <c r="AB655" s="49"/>
    </row>
    <row r="656" spans="1:28" ht="14.25">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c r="AA656" s="49"/>
      <c r="AB656" s="49"/>
    </row>
    <row r="657" spans="1:28" ht="14.25">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c r="AA657" s="49"/>
      <c r="AB657" s="49"/>
    </row>
    <row r="658" spans="1:28" ht="14.25">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c r="AA658" s="49"/>
      <c r="AB658" s="49"/>
    </row>
    <row r="659" spans="1:28" ht="14.25">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c r="AA659" s="49"/>
      <c r="AB659" s="49"/>
    </row>
    <row r="660" spans="1:28" ht="14.25">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c r="AA660" s="49"/>
      <c r="AB660" s="49"/>
    </row>
    <row r="661" spans="1:28" ht="14.25">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c r="AA661" s="49"/>
      <c r="AB661" s="49"/>
    </row>
    <row r="662" spans="1:28" ht="14.25">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c r="AA662" s="49"/>
      <c r="AB662" s="49"/>
    </row>
    <row r="663" spans="1:28" ht="14.25">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c r="AA663" s="49"/>
      <c r="AB663" s="49"/>
    </row>
    <row r="664" spans="1:28" ht="14.25">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c r="AA664" s="49"/>
      <c r="AB664" s="49"/>
    </row>
    <row r="665" spans="1:28" ht="14.25">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c r="AA665" s="49"/>
      <c r="AB665" s="49"/>
    </row>
    <row r="666" spans="1:28" ht="14.25">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c r="AA666" s="49"/>
      <c r="AB666" s="49"/>
    </row>
    <row r="667" spans="1:28" ht="14.25">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c r="AA667" s="49"/>
      <c r="AB667" s="49"/>
    </row>
    <row r="668" spans="1:28" ht="14.25">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c r="AA668" s="49"/>
      <c r="AB668" s="49"/>
    </row>
    <row r="669" spans="1:28" ht="14.25">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c r="AA669" s="49"/>
      <c r="AB669" s="49"/>
    </row>
    <row r="670" spans="1:28" ht="14.25">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c r="AA670" s="49"/>
      <c r="AB670" s="49"/>
    </row>
    <row r="671" spans="1:28" ht="14.25">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c r="AA671" s="49"/>
      <c r="AB671" s="49"/>
    </row>
    <row r="672" spans="1:28" ht="14.25">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c r="AA672" s="49"/>
      <c r="AB672" s="49"/>
    </row>
    <row r="673" spans="1:28" ht="14.25">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c r="AA673" s="49"/>
      <c r="AB673" s="49"/>
    </row>
    <row r="674" spans="1:28" ht="14.25">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c r="AA674" s="49"/>
      <c r="AB674" s="49"/>
    </row>
    <row r="675" spans="1:28" ht="14.25">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c r="AA675" s="49"/>
      <c r="AB675" s="49"/>
    </row>
    <row r="676" spans="1:28" ht="14.25">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c r="AA676" s="49"/>
      <c r="AB676" s="49"/>
    </row>
    <row r="677" spans="1:28" ht="14.25">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c r="AA677" s="49"/>
      <c r="AB677" s="49"/>
    </row>
    <row r="678" spans="1:28" ht="14.25">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c r="AA678" s="49"/>
      <c r="AB678" s="49"/>
    </row>
    <row r="679" spans="1:28" ht="14.25">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c r="AA679" s="49"/>
      <c r="AB679" s="49"/>
    </row>
    <row r="680" spans="1:28" ht="14.25">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c r="AA680" s="49"/>
      <c r="AB680" s="49"/>
    </row>
    <row r="681" spans="1:28" ht="14.25">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c r="AA681" s="49"/>
      <c r="AB681" s="49"/>
    </row>
    <row r="682" spans="1:28" ht="14.25">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c r="AA682" s="49"/>
      <c r="AB682" s="49"/>
    </row>
    <row r="683" spans="1:28" ht="14.25">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c r="AA683" s="49"/>
      <c r="AB683" s="49"/>
    </row>
    <row r="684" spans="1:28" ht="14.25">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c r="AA684" s="49"/>
      <c r="AB684" s="49"/>
    </row>
    <row r="685" spans="1:28" ht="14.25">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c r="AA685" s="49"/>
      <c r="AB685" s="49"/>
    </row>
    <row r="686" spans="1:28" ht="14.25">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c r="AA686" s="49"/>
      <c r="AB686" s="49"/>
    </row>
    <row r="687" spans="1:28" ht="14.25">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c r="AA687" s="49"/>
      <c r="AB687" s="49"/>
    </row>
    <row r="688" spans="1:28" ht="14.25">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c r="AA688" s="49"/>
      <c r="AB688" s="49"/>
    </row>
    <row r="689" spans="1:28" ht="14.25">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c r="AA689" s="49"/>
      <c r="AB689" s="49"/>
    </row>
    <row r="690" spans="1:28" ht="14.25">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c r="AA690" s="49"/>
      <c r="AB690" s="49"/>
    </row>
    <row r="691" spans="1:28" ht="14.25">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c r="AA691" s="49"/>
      <c r="AB691" s="49"/>
    </row>
    <row r="692" spans="1:28" ht="14.25">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c r="AA692" s="49"/>
      <c r="AB692" s="49"/>
    </row>
    <row r="693" spans="1:28" ht="14.25">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c r="AA693" s="49"/>
      <c r="AB693" s="49"/>
    </row>
    <row r="694" spans="1:28" ht="14.25">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c r="AA694" s="49"/>
      <c r="AB694" s="49"/>
    </row>
    <row r="695" spans="1:28" ht="14.25">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c r="AA695" s="49"/>
      <c r="AB695" s="49"/>
    </row>
    <row r="696" spans="1:28" ht="14.25">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c r="AA696" s="49"/>
      <c r="AB696" s="49"/>
    </row>
    <row r="697" spans="1:28" ht="14.25">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c r="AA697" s="49"/>
      <c r="AB697" s="49"/>
    </row>
    <row r="698" spans="1:28" ht="14.25">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c r="AA698" s="49"/>
      <c r="AB698" s="49"/>
    </row>
    <row r="699" spans="1:28" ht="14.25">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c r="AA699" s="49"/>
      <c r="AB699" s="49"/>
    </row>
    <row r="700" spans="1:28" ht="14.25">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c r="AA700" s="49"/>
      <c r="AB700" s="49"/>
    </row>
    <row r="701" spans="1:28" ht="14.25">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c r="AA701" s="49"/>
      <c r="AB701" s="49"/>
    </row>
    <row r="702" spans="1:28" ht="14.25">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c r="AA702" s="49"/>
      <c r="AB702" s="49"/>
    </row>
    <row r="703" spans="1:28" ht="14.25">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c r="AA703" s="49"/>
      <c r="AB703" s="49"/>
    </row>
    <row r="704" spans="1:28" ht="14.25">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c r="AA704" s="49"/>
      <c r="AB704" s="49"/>
    </row>
    <row r="705" spans="1:28" ht="14.25">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c r="AA705" s="49"/>
      <c r="AB705" s="49"/>
    </row>
    <row r="706" spans="1:28" ht="14.25">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c r="AA706" s="49"/>
      <c r="AB706" s="49"/>
    </row>
    <row r="707" spans="1:28" ht="14.25">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c r="AA707" s="49"/>
      <c r="AB707" s="49"/>
    </row>
    <row r="708" spans="1:28" ht="14.25">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c r="AA708" s="49"/>
      <c r="AB708" s="49"/>
    </row>
    <row r="709" spans="1:28" ht="14.25">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c r="AA709" s="49"/>
      <c r="AB709" s="49"/>
    </row>
    <row r="710" spans="1:28" ht="14.25">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c r="AA710" s="49"/>
      <c r="AB710" s="49"/>
    </row>
    <row r="711" spans="1:28" ht="14.25">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c r="AA711" s="49"/>
      <c r="AB711" s="49"/>
    </row>
    <row r="712" spans="1:28" ht="14.25">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c r="AA712" s="49"/>
      <c r="AB712" s="49"/>
    </row>
    <row r="713" spans="1:28" ht="14.25">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c r="AA713" s="49"/>
      <c r="AB713" s="49"/>
    </row>
    <row r="714" spans="1:28" ht="14.25">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c r="AA714" s="49"/>
      <c r="AB714" s="49"/>
    </row>
    <row r="715" spans="1:28" ht="14.25">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c r="AA715" s="49"/>
      <c r="AB715" s="49"/>
    </row>
    <row r="716" spans="1:28" ht="14.25">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c r="AA716" s="49"/>
      <c r="AB716" s="49"/>
    </row>
    <row r="717" spans="1:28" ht="14.25">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c r="AA717" s="49"/>
      <c r="AB717" s="49"/>
    </row>
    <row r="718" spans="1:28" ht="14.25">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c r="AA718" s="49"/>
      <c r="AB718" s="49"/>
    </row>
    <row r="719" spans="1:28" ht="14.25">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c r="AA719" s="49"/>
      <c r="AB719" s="49"/>
    </row>
    <row r="720" spans="1:28" ht="14.25">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c r="AA720" s="49"/>
      <c r="AB720" s="49"/>
    </row>
    <row r="721" spans="1:28" ht="14.25">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c r="AA721" s="49"/>
      <c r="AB721" s="49"/>
    </row>
    <row r="722" spans="1:28" ht="14.25">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c r="AA722" s="49"/>
      <c r="AB722" s="49"/>
    </row>
    <row r="723" spans="1:28" ht="14.25">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c r="AA723" s="49"/>
      <c r="AB723" s="49"/>
    </row>
    <row r="724" spans="1:28" ht="14.25">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c r="AA724" s="49"/>
      <c r="AB724" s="49"/>
    </row>
    <row r="725" spans="1:28" ht="14.25">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c r="AA725" s="49"/>
      <c r="AB725" s="49"/>
    </row>
    <row r="726" spans="1:28" ht="14.25">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c r="AA726" s="49"/>
      <c r="AB726" s="49"/>
    </row>
    <row r="727" spans="1:28" ht="14.25">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c r="AA727" s="49"/>
      <c r="AB727" s="49"/>
    </row>
    <row r="728" spans="1:28" ht="14.25">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c r="AA728" s="49"/>
      <c r="AB728" s="49"/>
    </row>
    <row r="729" spans="1:28" ht="14.25">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c r="AA729" s="49"/>
      <c r="AB729" s="49"/>
    </row>
    <row r="730" spans="1:28" ht="14.25">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c r="AA730" s="49"/>
      <c r="AB730" s="49"/>
    </row>
    <row r="731" spans="1:28" ht="14.25">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c r="AA731" s="49"/>
      <c r="AB731" s="49"/>
    </row>
    <row r="732" spans="1:28" ht="14.25">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c r="AA732" s="49"/>
      <c r="AB732" s="49"/>
    </row>
    <row r="733" spans="1:28" ht="14.25">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c r="AA733" s="49"/>
      <c r="AB733" s="49"/>
    </row>
    <row r="734" spans="1:28" ht="14.25">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c r="AA734" s="49"/>
      <c r="AB734" s="49"/>
    </row>
    <row r="735" spans="1:28" ht="14.25">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c r="AA735" s="49"/>
      <c r="AB735" s="49"/>
    </row>
    <row r="736" spans="1:28" ht="14.25">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c r="AA736" s="49"/>
      <c r="AB736" s="49"/>
    </row>
    <row r="737" spans="1:28" ht="14.25">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c r="AA737" s="49"/>
      <c r="AB737" s="49"/>
    </row>
    <row r="738" spans="1:28" ht="14.25">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c r="AA738" s="49"/>
      <c r="AB738" s="49"/>
    </row>
    <row r="739" spans="1:28" ht="14.25">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c r="AA739" s="49"/>
      <c r="AB739" s="49"/>
    </row>
    <row r="740" spans="1:28" ht="14.25">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c r="AA740" s="49"/>
      <c r="AB740" s="49"/>
    </row>
    <row r="741" spans="1:28" ht="14.25">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c r="AA741" s="49"/>
      <c r="AB741" s="49"/>
    </row>
    <row r="742" spans="1:28" ht="14.25">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c r="AA742" s="49"/>
      <c r="AB742" s="49"/>
    </row>
    <row r="743" spans="1:28" ht="14.25">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c r="AA743" s="49"/>
      <c r="AB743" s="49"/>
    </row>
    <row r="744" spans="1:28" ht="14.25">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c r="AA744" s="49"/>
      <c r="AB744" s="49"/>
    </row>
    <row r="745" spans="1:28" ht="14.25">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c r="AA745" s="49"/>
      <c r="AB745" s="49"/>
    </row>
    <row r="746" spans="1:28" ht="14.25">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c r="AA746" s="49"/>
      <c r="AB746" s="49"/>
    </row>
    <row r="747" spans="1:28" ht="14.25">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c r="AA747" s="49"/>
      <c r="AB747" s="49"/>
    </row>
    <row r="748" spans="1:28" ht="14.25">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c r="AA748" s="49"/>
      <c r="AB748" s="49"/>
    </row>
    <row r="749" spans="1:28" ht="14.25">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c r="AA749" s="49"/>
      <c r="AB749" s="49"/>
    </row>
    <row r="750" spans="1:28" ht="14.25">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c r="AA750" s="49"/>
      <c r="AB750" s="49"/>
    </row>
    <row r="751" spans="1:28" ht="14.25">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c r="AA751" s="49"/>
      <c r="AB751" s="49"/>
    </row>
    <row r="752" spans="1:28" ht="14.25">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c r="AA752" s="49"/>
      <c r="AB752" s="49"/>
    </row>
    <row r="753" spans="1:28" ht="14.25">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c r="AA753" s="49"/>
      <c r="AB753" s="49"/>
    </row>
    <row r="754" spans="1:28" ht="14.25">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c r="AA754" s="49"/>
      <c r="AB754" s="49"/>
    </row>
    <row r="755" spans="1:28" ht="14.25">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c r="AA755" s="49"/>
      <c r="AB755" s="49"/>
    </row>
    <row r="756" spans="1:28" ht="14.25">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c r="AA756" s="49"/>
      <c r="AB756" s="49"/>
    </row>
    <row r="757" spans="1:28" ht="14.25">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c r="AA757" s="49"/>
      <c r="AB757" s="49"/>
    </row>
    <row r="758" spans="1:28" ht="14.25">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c r="AA758" s="49"/>
      <c r="AB758" s="49"/>
    </row>
    <row r="759" spans="1:28" ht="14.25">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c r="AA759" s="49"/>
      <c r="AB759" s="49"/>
    </row>
    <row r="760" spans="1:28" ht="14.25">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c r="AA760" s="49"/>
      <c r="AB760" s="49"/>
    </row>
    <row r="761" spans="1:28" ht="14.25">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c r="AA761" s="49"/>
      <c r="AB761" s="49"/>
    </row>
    <row r="762" spans="1:28" ht="14.25">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c r="AA762" s="49"/>
      <c r="AB762" s="49"/>
    </row>
    <row r="763" spans="1:28" ht="14.25">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c r="AA763" s="49"/>
      <c r="AB763" s="49"/>
    </row>
    <row r="764" spans="1:28" ht="14.25">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c r="AA764" s="49"/>
      <c r="AB764" s="49"/>
    </row>
    <row r="765" spans="1:28" ht="14.25">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c r="AA765" s="49"/>
      <c r="AB765" s="49"/>
    </row>
    <row r="766" spans="1:28" ht="14.25">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c r="AA766" s="49"/>
      <c r="AB766" s="49"/>
    </row>
    <row r="767" spans="1:28" ht="14.25">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c r="AA767" s="49"/>
      <c r="AB767" s="49"/>
    </row>
    <row r="768" spans="1:28" ht="14.25">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c r="AA768" s="49"/>
      <c r="AB768" s="49"/>
    </row>
    <row r="769" spans="1:28" ht="14.25">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c r="AA769" s="49"/>
      <c r="AB769" s="49"/>
    </row>
    <row r="770" spans="1:28" ht="14.25">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c r="AA770" s="49"/>
      <c r="AB770" s="49"/>
    </row>
    <row r="771" spans="1:28" ht="14.25">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c r="AA771" s="49"/>
      <c r="AB771" s="49"/>
    </row>
    <row r="772" spans="1:28" ht="14.25">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c r="AA772" s="49"/>
      <c r="AB772" s="49"/>
    </row>
    <row r="773" spans="1:28" ht="14.25">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c r="AA773" s="49"/>
      <c r="AB773" s="49"/>
    </row>
    <row r="774" spans="1:28" ht="14.25">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c r="AA774" s="49"/>
      <c r="AB774" s="49"/>
    </row>
    <row r="775" spans="1:28" ht="14.25">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c r="AA775" s="49"/>
      <c r="AB775" s="49"/>
    </row>
    <row r="776" spans="1:28" ht="14.25">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c r="AA776" s="49"/>
      <c r="AB776" s="49"/>
    </row>
    <row r="777" spans="1:28" ht="14.25">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c r="AA777" s="49"/>
      <c r="AB777" s="49"/>
    </row>
    <row r="778" spans="1:28" ht="14.25">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c r="AA778" s="49"/>
      <c r="AB778" s="49"/>
    </row>
    <row r="779" spans="1:28" ht="14.25">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c r="AA779" s="49"/>
      <c r="AB779" s="49"/>
    </row>
    <row r="780" spans="1:28" ht="14.25">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c r="AA780" s="49"/>
      <c r="AB780" s="49"/>
    </row>
    <row r="781" spans="1:28" ht="14.25">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c r="AA781" s="49"/>
      <c r="AB781" s="49"/>
    </row>
    <row r="782" spans="1:28" ht="14.25">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c r="AA782" s="49"/>
      <c r="AB782" s="49"/>
    </row>
    <row r="783" spans="1:28" ht="14.25">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c r="AA783" s="49"/>
      <c r="AB783" s="49"/>
    </row>
    <row r="784" spans="1:28" ht="14.25">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c r="AA784" s="49"/>
      <c r="AB784" s="49"/>
    </row>
    <row r="785" spans="1:28" ht="14.25">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c r="AA785" s="49"/>
      <c r="AB785" s="49"/>
    </row>
    <row r="786" spans="1:28" ht="14.25">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c r="AA786" s="49"/>
      <c r="AB786" s="49"/>
    </row>
    <row r="787" spans="1:28" ht="14.25">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c r="AA787" s="49"/>
      <c r="AB787" s="49"/>
    </row>
    <row r="788" spans="1:28" ht="14.25">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c r="AA788" s="49"/>
      <c r="AB788" s="49"/>
    </row>
    <row r="789" spans="1:28" ht="14.25">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c r="AA789" s="49"/>
      <c r="AB789" s="49"/>
    </row>
    <row r="790" spans="1:28" ht="14.25">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c r="AA790" s="49"/>
      <c r="AB790" s="49"/>
    </row>
    <row r="791" spans="1:28" ht="14.25">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c r="AA791" s="49"/>
      <c r="AB791" s="49"/>
    </row>
    <row r="792" spans="1:28" ht="14.25">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c r="AA792" s="49"/>
      <c r="AB792" s="49"/>
    </row>
    <row r="793" spans="1:28" ht="14.25">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c r="AA793" s="49"/>
      <c r="AB793" s="49"/>
    </row>
    <row r="794" spans="1:28" ht="14.25">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c r="AA794" s="49"/>
      <c r="AB794" s="49"/>
    </row>
    <row r="795" spans="1:28" ht="14.25">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c r="AA795" s="49"/>
      <c r="AB795" s="49"/>
    </row>
    <row r="796" spans="1:28" ht="14.25">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c r="AA796" s="49"/>
      <c r="AB796" s="49"/>
    </row>
    <row r="797" spans="1:28" ht="14.25">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c r="AA797" s="49"/>
      <c r="AB797" s="49"/>
    </row>
    <row r="798" spans="1:28" ht="14.25">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c r="AA798" s="49"/>
      <c r="AB798" s="49"/>
    </row>
    <row r="799" spans="1:28" ht="14.25">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c r="AA799" s="49"/>
      <c r="AB799" s="49"/>
    </row>
    <row r="800" spans="1:28" ht="14.25">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c r="AA800" s="49"/>
      <c r="AB800" s="49"/>
    </row>
    <row r="801" spans="1:28" ht="14.25">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c r="AA801" s="49"/>
      <c r="AB801" s="49"/>
    </row>
    <row r="802" spans="1:28" ht="14.25">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c r="AA802" s="49"/>
      <c r="AB802" s="49"/>
    </row>
    <row r="803" spans="1:28" ht="14.25">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c r="AA803" s="49"/>
      <c r="AB803" s="49"/>
    </row>
    <row r="804" spans="1:28" ht="14.25">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c r="AA804" s="49"/>
      <c r="AB804" s="49"/>
    </row>
    <row r="805" spans="1:28" ht="14.25">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c r="AA805" s="49"/>
      <c r="AB805" s="49"/>
    </row>
    <row r="806" spans="1:28" ht="14.25">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c r="AA806" s="49"/>
      <c r="AB806" s="49"/>
    </row>
    <row r="807" spans="1:28" ht="14.25">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c r="AA807" s="49"/>
      <c r="AB807" s="49"/>
    </row>
    <row r="808" spans="1:28" ht="14.25">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c r="AA808" s="49"/>
      <c r="AB808" s="49"/>
    </row>
    <row r="809" spans="1:28" ht="14.25">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c r="AA809" s="49"/>
      <c r="AB809" s="49"/>
    </row>
    <row r="810" spans="1:28" ht="14.25">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c r="AA810" s="49"/>
      <c r="AB810" s="49"/>
    </row>
    <row r="811" spans="1:28" ht="14.25">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c r="AA811" s="49"/>
      <c r="AB811" s="49"/>
    </row>
    <row r="812" spans="1:28" ht="14.25">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c r="AA812" s="49"/>
      <c r="AB812" s="49"/>
    </row>
    <row r="813" spans="1:28" ht="14.25">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c r="AA813" s="49"/>
      <c r="AB813" s="49"/>
    </row>
    <row r="814" spans="1:28" ht="14.25">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c r="AA814" s="49"/>
      <c r="AB814" s="49"/>
    </row>
    <row r="815" spans="1:28" ht="14.25">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c r="AA815" s="49"/>
      <c r="AB815" s="49"/>
    </row>
    <row r="816" spans="1:28" ht="14.25">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c r="AA816" s="49"/>
      <c r="AB816" s="49"/>
    </row>
    <row r="817" spans="1:28" ht="14.25">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c r="AA817" s="49"/>
      <c r="AB817" s="49"/>
    </row>
    <row r="818" spans="1:28" ht="14.25">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c r="AA818" s="49"/>
      <c r="AB818" s="49"/>
    </row>
    <row r="819" spans="1:28" ht="14.25">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c r="AA819" s="49"/>
      <c r="AB819" s="49"/>
    </row>
    <row r="820" spans="1:28" ht="14.25">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c r="AA820" s="49"/>
      <c r="AB820" s="49"/>
    </row>
    <row r="821" spans="1:28" ht="14.25">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c r="AA821" s="49"/>
      <c r="AB821" s="49"/>
    </row>
    <row r="822" spans="1:28" ht="14.25">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c r="AA822" s="49"/>
      <c r="AB822" s="49"/>
    </row>
    <row r="823" spans="1:28" ht="14.25">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c r="AA823" s="49"/>
      <c r="AB823" s="49"/>
    </row>
    <row r="824" spans="1:28" ht="14.25">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c r="AA824" s="49"/>
      <c r="AB824" s="49"/>
    </row>
    <row r="825" spans="1:28" ht="14.25">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c r="AA825" s="49"/>
      <c r="AB825" s="49"/>
    </row>
    <row r="826" spans="1:28" ht="14.25">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c r="AA826" s="49"/>
      <c r="AB826" s="49"/>
    </row>
    <row r="827" spans="1:28" ht="14.25">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c r="AA827" s="49"/>
      <c r="AB827" s="49"/>
    </row>
    <row r="828" spans="1:28" ht="14.25">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c r="AA828" s="49"/>
      <c r="AB828" s="49"/>
    </row>
    <row r="829" spans="1:28" ht="14.25">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c r="AA829" s="49"/>
      <c r="AB829" s="49"/>
    </row>
    <row r="830" spans="1:28" ht="14.25">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c r="AA830" s="49"/>
      <c r="AB830" s="49"/>
    </row>
    <row r="831" spans="1:28" ht="14.25">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c r="AA831" s="49"/>
      <c r="AB831" s="49"/>
    </row>
    <row r="832" spans="1:28" ht="14.25">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c r="AA832" s="49"/>
      <c r="AB832" s="49"/>
    </row>
    <row r="833" spans="1:28" ht="14.25">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c r="AA833" s="49"/>
      <c r="AB833" s="49"/>
    </row>
    <row r="834" spans="1:28" ht="14.25">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c r="AA834" s="49"/>
      <c r="AB834" s="49"/>
    </row>
    <row r="835" spans="1:28" ht="14.25">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c r="AA835" s="49"/>
      <c r="AB835" s="49"/>
    </row>
    <row r="836" spans="1:28" ht="14.25">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c r="AA836" s="49"/>
      <c r="AB836" s="49"/>
    </row>
    <row r="837" spans="1:28" ht="14.25">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c r="AA837" s="49"/>
      <c r="AB837" s="49"/>
    </row>
    <row r="838" spans="1:28" ht="14.25">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c r="AA838" s="49"/>
      <c r="AB838" s="49"/>
    </row>
    <row r="839" spans="1:28" ht="14.25">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c r="AA839" s="49"/>
      <c r="AB839" s="49"/>
    </row>
    <row r="840" spans="1:28" ht="14.25">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c r="AA840" s="49"/>
      <c r="AB840" s="49"/>
    </row>
    <row r="841" spans="1:28" ht="14.25">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c r="AA841" s="49"/>
      <c r="AB841" s="49"/>
    </row>
    <row r="842" spans="1:28" ht="14.25">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c r="AA842" s="49"/>
      <c r="AB842" s="49"/>
    </row>
    <row r="843" spans="1:28" ht="14.25">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c r="AA843" s="49"/>
      <c r="AB843" s="49"/>
    </row>
    <row r="844" spans="1:28" ht="14.25">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c r="AA844" s="49"/>
      <c r="AB844" s="49"/>
    </row>
    <row r="845" spans="1:28" ht="14.25">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c r="AA845" s="49"/>
      <c r="AB845" s="49"/>
    </row>
    <row r="846" spans="1:28" ht="14.25">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c r="AA846" s="49"/>
      <c r="AB846" s="49"/>
    </row>
    <row r="847" spans="1:28" ht="14.25">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c r="AA847" s="49"/>
      <c r="AB847" s="49"/>
    </row>
    <row r="848" spans="1:28" ht="14.25">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c r="AA848" s="49"/>
      <c r="AB848" s="49"/>
    </row>
    <row r="849" spans="1:28" ht="14.25">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c r="AA849" s="49"/>
      <c r="AB849" s="49"/>
    </row>
    <row r="850" spans="1:28" ht="14.25">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c r="AA850" s="49"/>
      <c r="AB850" s="49"/>
    </row>
    <row r="851" spans="1:28" ht="14.25">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c r="AA851" s="49"/>
      <c r="AB851" s="49"/>
    </row>
    <row r="852" spans="1:28" ht="14.25">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c r="AA852" s="49"/>
      <c r="AB852" s="49"/>
    </row>
    <row r="853" spans="1:28" ht="14.25">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c r="AA853" s="49"/>
      <c r="AB853" s="49"/>
    </row>
    <row r="854" spans="1:28" ht="14.25">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c r="AA854" s="49"/>
      <c r="AB854" s="49"/>
    </row>
    <row r="855" spans="1:28" ht="14.25">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c r="AA855" s="49"/>
      <c r="AB855" s="49"/>
    </row>
    <row r="856" spans="1:28" ht="14.25">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c r="AA856" s="49"/>
      <c r="AB856" s="49"/>
    </row>
    <row r="857" spans="1:28" ht="14.25">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c r="AA857" s="49"/>
      <c r="AB857" s="49"/>
    </row>
    <row r="858" spans="1:28" ht="14.25">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c r="AA858" s="49"/>
      <c r="AB858" s="49"/>
    </row>
    <row r="859" spans="1:28" ht="14.25">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c r="AA859" s="49"/>
      <c r="AB859" s="49"/>
    </row>
    <row r="860" spans="1:28" ht="14.25">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c r="AA860" s="49"/>
      <c r="AB860" s="49"/>
    </row>
    <row r="861" spans="1:28" ht="14.25">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c r="AA861" s="49"/>
      <c r="AB861" s="49"/>
    </row>
    <row r="862" spans="1:28" ht="14.25">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c r="AA862" s="49"/>
      <c r="AB862" s="49"/>
    </row>
    <row r="863" spans="1:28" ht="14.25">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c r="AA863" s="49"/>
      <c r="AB863" s="49"/>
    </row>
    <row r="864" spans="1:28" ht="14.25">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c r="AA864" s="49"/>
      <c r="AB864" s="49"/>
    </row>
    <row r="865" spans="1:28" ht="14.25">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c r="AA865" s="49"/>
      <c r="AB865" s="49"/>
    </row>
    <row r="866" spans="1:28" ht="14.25">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c r="AA866" s="49"/>
      <c r="AB866" s="49"/>
    </row>
    <row r="867" spans="1:28" ht="14.25">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c r="AA867" s="49"/>
      <c r="AB867" s="49"/>
    </row>
    <row r="868" spans="1:28" ht="14.25">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c r="AA868" s="49"/>
      <c r="AB868" s="49"/>
    </row>
    <row r="869" spans="1:28" ht="14.25">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c r="AA869" s="49"/>
      <c r="AB869" s="49"/>
    </row>
    <row r="870" spans="1:28" ht="14.25">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c r="AA870" s="49"/>
      <c r="AB870" s="49"/>
    </row>
    <row r="871" spans="1:28" ht="14.25">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c r="AA871" s="49"/>
      <c r="AB871" s="49"/>
    </row>
    <row r="872" spans="1:28" ht="14.25">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c r="AA872" s="49"/>
      <c r="AB872" s="49"/>
    </row>
    <row r="873" spans="1:28" ht="14.25">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c r="AA873" s="49"/>
      <c r="AB873" s="49"/>
    </row>
    <row r="874" spans="1:28" ht="14.25">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c r="AA874" s="49"/>
      <c r="AB874" s="49"/>
    </row>
    <row r="875" spans="1:28" ht="14.25">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c r="AA875" s="49"/>
      <c r="AB875" s="49"/>
    </row>
    <row r="876" spans="1:28" ht="14.25">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c r="AA876" s="49"/>
      <c r="AB876" s="49"/>
    </row>
    <row r="877" spans="1:28" ht="14.25">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c r="AA877" s="49"/>
      <c r="AB877" s="49"/>
    </row>
    <row r="878" spans="1:28" ht="14.25">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c r="AA878" s="49"/>
      <c r="AB878" s="49"/>
    </row>
    <row r="879" spans="1:28" ht="14.25">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c r="AA879" s="49"/>
      <c r="AB879" s="49"/>
    </row>
    <row r="880" spans="1:28" ht="14.25">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c r="AA880" s="49"/>
      <c r="AB880" s="49"/>
    </row>
    <row r="881" spans="1:28" ht="14.25">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c r="AA881" s="49"/>
      <c r="AB881" s="49"/>
    </row>
    <row r="882" spans="1:28" ht="14.25">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c r="AA882" s="49"/>
      <c r="AB882" s="49"/>
    </row>
    <row r="883" spans="1:28" ht="14.25">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c r="AA883" s="49"/>
      <c r="AB883" s="49"/>
    </row>
    <row r="884" spans="1:28" ht="14.25">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c r="AA884" s="49"/>
      <c r="AB884" s="49"/>
    </row>
    <row r="885" spans="1:28" ht="14.25">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c r="AA885" s="49"/>
      <c r="AB885" s="49"/>
    </row>
    <row r="886" spans="1:28" ht="14.25">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c r="AA886" s="49"/>
      <c r="AB886" s="49"/>
    </row>
    <row r="887" spans="1:28" ht="14.25">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c r="AA887" s="49"/>
      <c r="AB887" s="49"/>
    </row>
    <row r="888" spans="1:28" ht="14.25">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c r="AA888" s="49"/>
      <c r="AB888" s="49"/>
    </row>
    <row r="889" spans="1:28" ht="14.25">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c r="AA889" s="49"/>
      <c r="AB889" s="49"/>
    </row>
    <row r="890" spans="1:28" ht="14.25">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c r="AA890" s="49"/>
      <c r="AB890" s="49"/>
    </row>
    <row r="891" spans="1:28" ht="14.25">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c r="AA891" s="49"/>
      <c r="AB891" s="49"/>
    </row>
    <row r="892" spans="1:28" ht="14.25">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c r="AA892" s="49"/>
      <c r="AB892" s="49"/>
    </row>
    <row r="893" spans="1:28" ht="14.25">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c r="AA893" s="49"/>
      <c r="AB893" s="49"/>
    </row>
    <row r="894" spans="1:28" ht="14.25">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c r="AA894" s="49"/>
      <c r="AB894" s="49"/>
    </row>
    <row r="895" spans="1:28" ht="14.25">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c r="AA895" s="49"/>
      <c r="AB895" s="49"/>
    </row>
    <row r="896" spans="1:28" ht="14.25">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c r="AA896" s="49"/>
      <c r="AB896" s="49"/>
    </row>
    <row r="897" spans="1:28" ht="14.25">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c r="AA897" s="49"/>
      <c r="AB897" s="49"/>
    </row>
    <row r="898" spans="1:28" ht="14.25">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c r="AA898" s="49"/>
      <c r="AB898" s="49"/>
    </row>
    <row r="899" spans="1:28" ht="14.25">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c r="AA899" s="49"/>
      <c r="AB899" s="49"/>
    </row>
    <row r="900" spans="1:28" ht="14.25">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c r="AA900" s="49"/>
      <c r="AB900" s="49"/>
    </row>
    <row r="901" spans="1:28" ht="14.25">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c r="AA901" s="49"/>
      <c r="AB901" s="49"/>
    </row>
    <row r="902" spans="1:28" ht="14.25">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c r="AA902" s="49"/>
      <c r="AB902" s="49"/>
    </row>
    <row r="903" spans="1:28" ht="14.25">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c r="AA903" s="49"/>
      <c r="AB903" s="49"/>
    </row>
    <row r="904" spans="1:28" ht="14.25">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c r="AA904" s="49"/>
      <c r="AB904" s="49"/>
    </row>
    <row r="905" spans="1:28" ht="14.25">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c r="AA905" s="49"/>
      <c r="AB905" s="49"/>
    </row>
    <row r="906" spans="1:28" ht="14.25">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c r="AA906" s="49"/>
      <c r="AB906" s="49"/>
    </row>
    <row r="907" spans="1:28" ht="14.25">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c r="AA907" s="49"/>
      <c r="AB907" s="49"/>
    </row>
    <row r="908" spans="1:28" ht="14.25">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c r="AA908" s="49"/>
      <c r="AB908" s="49"/>
    </row>
    <row r="909" spans="1:28" ht="14.25">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c r="AA909" s="49"/>
      <c r="AB909" s="49"/>
    </row>
    <row r="910" spans="1:28" ht="14.25">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c r="AA910" s="49"/>
      <c r="AB910" s="49"/>
    </row>
    <row r="911" spans="1:28" ht="14.25">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c r="AA911" s="49"/>
      <c r="AB911" s="49"/>
    </row>
    <row r="912" spans="1:28" ht="14.25">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c r="AA912" s="49"/>
      <c r="AB912" s="49"/>
    </row>
    <row r="913" spans="1:28" ht="14.25">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c r="AA913" s="49"/>
      <c r="AB913" s="49"/>
    </row>
    <row r="914" spans="1:28" ht="14.25">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c r="AA914" s="49"/>
      <c r="AB914" s="49"/>
    </row>
    <row r="915" spans="1:28" ht="14.25">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c r="AA915" s="49"/>
      <c r="AB915" s="49"/>
    </row>
    <row r="916" spans="1:28" ht="14.25">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c r="AA916" s="49"/>
      <c r="AB916" s="49"/>
    </row>
    <row r="917" spans="1:28" ht="14.25">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c r="AA917" s="49"/>
      <c r="AB917" s="49"/>
    </row>
    <row r="918" spans="1:28" ht="14.25">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c r="AA918" s="49"/>
      <c r="AB918" s="49"/>
    </row>
    <row r="919" spans="1:28" ht="14.25">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c r="AA919" s="49"/>
      <c r="AB919" s="49"/>
    </row>
    <row r="920" spans="1:28" ht="14.25">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c r="AA920" s="49"/>
      <c r="AB920" s="49"/>
    </row>
    <row r="921" spans="1:28" ht="14.25">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c r="AA921" s="49"/>
      <c r="AB921" s="49"/>
    </row>
    <row r="922" spans="1:28" ht="14.25">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c r="AA922" s="49"/>
      <c r="AB922" s="49"/>
    </row>
    <row r="923" spans="1:28" ht="14.25">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c r="AA923" s="49"/>
      <c r="AB923" s="49"/>
    </row>
    <row r="924" spans="1:28" ht="14.25">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c r="AA924" s="49"/>
      <c r="AB924" s="49"/>
    </row>
    <row r="925" spans="1:28" ht="14.25">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c r="AA925" s="49"/>
      <c r="AB925" s="49"/>
    </row>
    <row r="926" spans="1:28" ht="14.25">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c r="AA926" s="49"/>
      <c r="AB926" s="49"/>
    </row>
    <row r="927" spans="1:28" ht="14.25">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c r="AA927" s="49"/>
      <c r="AB927" s="49"/>
    </row>
    <row r="928" spans="1:28" ht="14.25">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c r="AA928" s="49"/>
      <c r="AB928" s="49"/>
    </row>
    <row r="929" spans="1:28" ht="14.25">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c r="AA929" s="49"/>
      <c r="AB929" s="49"/>
    </row>
    <row r="930" spans="1:28" ht="14.25">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c r="AA930" s="49"/>
      <c r="AB930" s="49"/>
    </row>
    <row r="931" spans="1:28" ht="14.25">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c r="AA931" s="49"/>
      <c r="AB931" s="49"/>
    </row>
    <row r="932" spans="1:28" ht="14.25">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c r="AA932" s="49"/>
      <c r="AB932" s="49"/>
    </row>
    <row r="933" spans="1:28" ht="14.25">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c r="AA933" s="49"/>
      <c r="AB933" s="49"/>
    </row>
    <row r="934" spans="1:28" ht="14.25">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c r="AA934" s="49"/>
      <c r="AB934" s="49"/>
    </row>
    <row r="935" spans="1:28" ht="14.25">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c r="AA935" s="49"/>
      <c r="AB935" s="49"/>
    </row>
    <row r="936" spans="1:28" ht="14.25">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c r="AA936" s="49"/>
      <c r="AB936" s="49"/>
    </row>
    <row r="937" spans="1:28" ht="14.25">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c r="AA937" s="49"/>
      <c r="AB937" s="49"/>
    </row>
    <row r="938" spans="1:28" ht="14.25">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c r="AA938" s="49"/>
      <c r="AB938" s="49"/>
    </row>
    <row r="939" spans="1:28" ht="14.25">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c r="AA939" s="49"/>
      <c r="AB939" s="49"/>
    </row>
    <row r="940" spans="1:28" ht="14.25">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c r="AA940" s="49"/>
      <c r="AB940" s="49"/>
    </row>
    <row r="941" spans="1:28" ht="14.25">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c r="AA941" s="49"/>
      <c r="AB941" s="49"/>
    </row>
    <row r="942" spans="1:28" ht="14.25">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c r="AA942" s="49"/>
      <c r="AB942" s="49"/>
    </row>
    <row r="943" spans="1:28" ht="14.25">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c r="AA943" s="49"/>
      <c r="AB943" s="49"/>
    </row>
    <row r="944" spans="1:28" ht="14.25">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c r="AA944" s="49"/>
      <c r="AB944" s="49"/>
    </row>
    <row r="945" spans="1:28" ht="14.25">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c r="AA945" s="49"/>
      <c r="AB945" s="49"/>
    </row>
    <row r="946" spans="1:28" ht="14.25">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c r="AA946" s="49"/>
      <c r="AB946" s="49"/>
    </row>
    <row r="947" spans="1:28" ht="14.25">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c r="AA947" s="49"/>
      <c r="AB947" s="49"/>
    </row>
    <row r="948" spans="1:28" ht="14.25">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c r="AA948" s="49"/>
      <c r="AB948" s="49"/>
    </row>
    <row r="949" spans="1:28" ht="14.25">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c r="AA949" s="49"/>
      <c r="AB949" s="49"/>
    </row>
    <row r="950" spans="1:28" ht="14.25">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c r="AA950" s="49"/>
      <c r="AB950" s="49"/>
    </row>
    <row r="951" spans="1:28" ht="14.25">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c r="AA951" s="49"/>
      <c r="AB951" s="49"/>
    </row>
    <row r="952" spans="1:28" ht="14.25">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c r="AA952" s="49"/>
      <c r="AB952" s="49"/>
    </row>
    <row r="953" spans="1:28" ht="14.25">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c r="AA953" s="49"/>
      <c r="AB953" s="49"/>
    </row>
    <row r="954" spans="1:28" ht="14.25">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c r="AA954" s="49"/>
      <c r="AB954" s="49"/>
    </row>
    <row r="955" spans="1:28" ht="14.25">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c r="AA955" s="49"/>
      <c r="AB955" s="49"/>
    </row>
    <row r="956" spans="1:28" ht="14.25">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c r="AA956" s="49"/>
      <c r="AB956" s="49"/>
    </row>
    <row r="957" spans="1:28" ht="14.25">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c r="AA957" s="49"/>
      <c r="AB957" s="49"/>
    </row>
    <row r="958" spans="1:28" ht="14.25">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c r="AA958" s="49"/>
      <c r="AB958" s="49"/>
    </row>
    <row r="959" spans="1:28" ht="14.25">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c r="AA959" s="49"/>
      <c r="AB959" s="49"/>
    </row>
    <row r="960" spans="1:28" ht="14.25">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c r="AA960" s="49"/>
      <c r="AB960" s="49"/>
    </row>
    <row r="961" spans="1:28" ht="14.25">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c r="AA961" s="49"/>
      <c r="AB961" s="49"/>
    </row>
    <row r="962" spans="1:28" ht="14.25">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c r="AA962" s="49"/>
      <c r="AB962" s="49"/>
    </row>
    <row r="963" spans="1:28" ht="14.25">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c r="AA963" s="49"/>
      <c r="AB963" s="49"/>
    </row>
    <row r="964" spans="1:28" ht="14.25">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c r="AA964" s="49"/>
      <c r="AB964" s="49"/>
    </row>
    <row r="965" spans="1:28" ht="14.25">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c r="AA965" s="49"/>
      <c r="AB965" s="49"/>
    </row>
    <row r="966" spans="1:28" ht="14.25">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c r="AA966" s="49"/>
      <c r="AB966" s="49"/>
    </row>
    <row r="967" spans="1:28" ht="14.25">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c r="AA967" s="49"/>
      <c r="AB967" s="49"/>
    </row>
    <row r="968" spans="1:28" ht="14.25">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c r="AA968" s="49"/>
      <c r="AB968" s="49"/>
    </row>
    <row r="969" spans="1:28" ht="14.25">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c r="AA969" s="49"/>
      <c r="AB969" s="49"/>
    </row>
    <row r="970" spans="1:28" ht="14.25">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c r="AA970" s="49"/>
      <c r="AB970" s="49"/>
    </row>
    <row r="971" spans="1:28" ht="14.25">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c r="AA971" s="49"/>
      <c r="AB971" s="49"/>
    </row>
    <row r="972" spans="1:28" ht="14.25">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c r="AA972" s="49"/>
      <c r="AB972" s="49"/>
    </row>
    <row r="973" spans="1:28" ht="14.25">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c r="AA973" s="49"/>
      <c r="AB973" s="49"/>
    </row>
    <row r="974" spans="1:28" ht="14.25">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c r="AA974" s="49"/>
      <c r="AB974" s="49"/>
    </row>
    <row r="975" spans="1:28" ht="14.25">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c r="AA975" s="49"/>
      <c r="AB975" s="49"/>
    </row>
    <row r="976" spans="1:28" ht="14.25">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c r="AA976" s="49"/>
      <c r="AB976" s="49"/>
    </row>
    <row r="977" spans="1:28" ht="14.25">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c r="AA977" s="49"/>
      <c r="AB977" s="49"/>
    </row>
    <row r="978" spans="1:28" ht="14.25">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c r="AA978" s="49"/>
      <c r="AB978" s="49"/>
    </row>
    <row r="979" spans="1:28" ht="14.25">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c r="AA979" s="49"/>
      <c r="AB979" s="49"/>
    </row>
    <row r="980" spans="1:28" ht="14.25">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c r="AA980" s="49"/>
      <c r="AB980" s="49"/>
    </row>
    <row r="981" spans="1:28" ht="14.25">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c r="AA981" s="49"/>
      <c r="AB981" s="49"/>
    </row>
    <row r="982" spans="1:28" ht="14.25">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c r="AA982" s="49"/>
      <c r="AB982" s="49"/>
    </row>
    <row r="983" spans="1:28" ht="14.25">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c r="AA983" s="49"/>
      <c r="AB983" s="49"/>
    </row>
    <row r="984" spans="1:28" ht="14.25">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c r="AA984" s="49"/>
      <c r="AB984" s="49"/>
    </row>
    <row r="985" spans="1:28" ht="14.25">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c r="AA985" s="49"/>
      <c r="AB985" s="49"/>
    </row>
    <row r="986" spans="1:28" ht="14.25">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c r="AA986" s="49"/>
      <c r="AB986" s="49"/>
    </row>
    <row r="987" spans="1:28" ht="14.25">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c r="AA987" s="49"/>
      <c r="AB987" s="49"/>
    </row>
    <row r="988" spans="1:28" ht="14.25">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c r="AA988" s="49"/>
      <c r="AB988" s="49"/>
    </row>
    <row r="989" spans="1:28" ht="14.25">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c r="AA989" s="49"/>
      <c r="AB989" s="49"/>
    </row>
    <row r="990" spans="1:28" ht="14.25">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c r="AA990" s="49"/>
      <c r="AB990" s="49"/>
    </row>
    <row r="991" spans="1:28" ht="14.25">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c r="AA991" s="49"/>
      <c r="AB991" s="49"/>
    </row>
    <row r="992" spans="1:28" ht="14.25">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c r="AA992" s="49"/>
      <c r="AB992" s="49"/>
    </row>
    <row r="993" spans="1:28" ht="14.25">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c r="AA993" s="49"/>
      <c r="AB993" s="49"/>
    </row>
    <row r="994" spans="1:28" ht="14.25">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c r="AA994" s="49"/>
      <c r="AB994" s="49"/>
    </row>
    <row r="995" spans="1:28" ht="14.25">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c r="AA995" s="49"/>
      <c r="AB995" s="49"/>
    </row>
    <row r="996" spans="1:28" ht="14.25">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c r="AA996" s="49"/>
      <c r="AB996" s="49"/>
    </row>
    <row r="997" spans="1:28" ht="14.25">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c r="AA997" s="49"/>
      <c r="AB997" s="49"/>
    </row>
    <row r="998" spans="1:28" ht="14.25">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c r="AA998" s="49"/>
      <c r="AB998" s="49"/>
    </row>
    <row r="999" spans="1:28" ht="14.25">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c r="AA999" s="49"/>
      <c r="AB999" s="49"/>
    </row>
    <row r="1000" spans="1:28" ht="14.25">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c r="AA1000" s="49"/>
      <c r="AB1000" s="49"/>
    </row>
    <row r="1001" spans="1:28" ht="14.25">
      <c r="A1001" s="49"/>
      <c r="B1001" s="49"/>
      <c r="C1001" s="49"/>
      <c r="D1001" s="49"/>
      <c r="E1001" s="49"/>
      <c r="F1001" s="49"/>
      <c r="G1001" s="49"/>
      <c r="H1001" s="49"/>
      <c r="I1001" s="49"/>
      <c r="J1001" s="49"/>
      <c r="K1001" s="49"/>
      <c r="L1001" s="49"/>
      <c r="M1001" s="49"/>
      <c r="N1001" s="49"/>
      <c r="O1001" s="49"/>
      <c r="P1001" s="49"/>
      <c r="Q1001" s="49"/>
      <c r="R1001" s="49"/>
      <c r="S1001" s="49"/>
      <c r="T1001" s="49"/>
      <c r="U1001" s="49"/>
      <c r="V1001" s="49"/>
      <c r="W1001" s="49"/>
      <c r="X1001" s="49"/>
      <c r="Y1001" s="49"/>
      <c r="Z1001" s="49"/>
      <c r="AA1001" s="49"/>
      <c r="AB1001" s="49"/>
    </row>
    <row r="1002" spans="1:28" ht="14.25">
      <c r="A1002" s="49"/>
      <c r="B1002" s="49"/>
      <c r="C1002" s="49"/>
      <c r="D1002" s="49"/>
      <c r="E1002" s="49"/>
      <c r="F1002" s="49"/>
      <c r="G1002" s="49"/>
      <c r="H1002" s="49"/>
      <c r="I1002" s="49"/>
      <c r="J1002" s="49"/>
      <c r="K1002" s="49"/>
      <c r="L1002" s="49"/>
      <c r="M1002" s="49"/>
      <c r="N1002" s="49"/>
      <c r="O1002" s="49"/>
      <c r="P1002" s="49"/>
      <c r="Q1002" s="49"/>
      <c r="R1002" s="49"/>
      <c r="S1002" s="49"/>
      <c r="T1002" s="49"/>
      <c r="U1002" s="49"/>
      <c r="V1002" s="49"/>
      <c r="W1002" s="49"/>
      <c r="X1002" s="49"/>
      <c r="Y1002" s="49"/>
      <c r="Z1002" s="49"/>
      <c r="AA1002" s="49"/>
      <c r="AB1002" s="49"/>
    </row>
    <row r="1003" spans="1:28" ht="14.25">
      <c r="A1003" s="49"/>
      <c r="B1003" s="49"/>
      <c r="C1003" s="49"/>
      <c r="D1003" s="49"/>
      <c r="E1003" s="49"/>
      <c r="F1003" s="49"/>
      <c r="G1003" s="49"/>
      <c r="H1003" s="49"/>
      <c r="I1003" s="49"/>
      <c r="J1003" s="49"/>
      <c r="K1003" s="49"/>
      <c r="L1003" s="49"/>
      <c r="M1003" s="49"/>
      <c r="N1003" s="49"/>
      <c r="O1003" s="49"/>
      <c r="P1003" s="49"/>
      <c r="Q1003" s="49"/>
      <c r="R1003" s="49"/>
      <c r="S1003" s="49"/>
      <c r="T1003" s="49"/>
      <c r="U1003" s="49"/>
      <c r="V1003" s="49"/>
      <c r="W1003" s="49"/>
      <c r="X1003" s="49"/>
      <c r="Y1003" s="49"/>
      <c r="Z1003" s="49"/>
      <c r="AA1003" s="49"/>
      <c r="AB1003" s="49"/>
    </row>
  </sheetData>
  <mergeCells count="26">
    <mergeCell ref="B27:K27"/>
    <mergeCell ref="D30:F31"/>
    <mergeCell ref="G30:I31"/>
    <mergeCell ref="B35:D35"/>
    <mergeCell ref="E35:G35"/>
    <mergeCell ref="A22:A24"/>
    <mergeCell ref="C22:D22"/>
    <mergeCell ref="E22:G22"/>
    <mergeCell ref="H22:I22"/>
    <mergeCell ref="C23:D23"/>
    <mergeCell ref="E23:G23"/>
    <mergeCell ref="H23:I23"/>
    <mergeCell ref="C24:D24"/>
    <mergeCell ref="E24:G24"/>
    <mergeCell ref="H24:I24"/>
    <mergeCell ref="A18:B18"/>
    <mergeCell ref="G18:K18"/>
    <mergeCell ref="A19:E19"/>
    <mergeCell ref="G19:J19"/>
    <mergeCell ref="A21:K21"/>
    <mergeCell ref="A1:F1"/>
    <mergeCell ref="H1:J1"/>
    <mergeCell ref="K8:K10"/>
    <mergeCell ref="H11:I11"/>
    <mergeCell ref="G15:G16"/>
    <mergeCell ref="H15:K16"/>
  </mergeCells>
  <conditionalFormatting sqref="F3 F5:F17">
    <cfRule type="cellIs" dxfId="3" priority="2" operator="equal">
      <formula>"Ekle"</formula>
    </cfRule>
  </conditionalFormatting>
  <conditionalFormatting sqref="F3 F5:F17">
    <cfRule type="cellIs" dxfId="2" priority="3" operator="equal">
      <formula>"Çıkar"</formula>
    </cfRule>
  </conditionalFormatting>
  <conditionalFormatting sqref="D3 D5:D17">
    <cfRule type="cellIs" dxfId="1" priority="4" operator="equal">
      <formula>0</formula>
    </cfRule>
  </conditionalFormatting>
  <conditionalFormatting sqref="A5:A17 A3">
    <cfRule type="expression" dxfId="0" priority="5">
      <formula>LEN(TRIM(A3))&gt;0</formula>
    </cfRule>
  </conditionalFormatting>
  <dataValidations count="9">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101"/>
      <c r="B1" s="101"/>
      <c r="C1" s="101"/>
    </row>
    <row r="2" spans="1:3" ht="18">
      <c r="A2" s="61" t="str">
        <f>'4ncü Derece'!A2</f>
        <v>🠳 Arapça İsim 🠳</v>
      </c>
      <c r="B2" s="62" t="str">
        <f>'4ncü Derece'!A18</f>
        <v>Tablo kodu: Sağir ebced değeri 🜨</v>
      </c>
      <c r="C2" s="61" t="s">
        <v>73</v>
      </c>
    </row>
    <row r="3" spans="1:3" ht="15">
      <c r="A3" s="63" t="str">
        <f>IF('4ncü Derece'!A3=0,"",'4ncü Derece'!A3)</f>
        <v/>
      </c>
      <c r="B3" s="64" t="str">
        <f>IF('4ncü Derece'!C3=1,ABJAD(SAF('4ncü Derece'!A3,""),'4ncü Derece'!B3,'4ncü Derece'!C3,1),ABJAD('4ncü Derece'!A3,'4ncü Derece'!B3,'4ncü Derece'!C3,1))</f>
        <v/>
      </c>
      <c r="C3" s="64" t="str">
        <f>IF('4ncü Derece'!C3=1,WORDBYWORD(SAF('4ncü Derece'!A3,""),'4ncü Derece'!B3,'4ncü Derece'!D3),WORDBYWORD('4ncü Derece'!A3,'4ncü Derece'!B3,'4ncü Derece'!C3))</f>
        <v/>
      </c>
    </row>
    <row r="4" spans="1:3" ht="18">
      <c r="A4" s="61" t="str">
        <f>'4ncü Derece'!A4</f>
        <v>🠳 Arapça Metin Girişi 🠳</v>
      </c>
      <c r="B4" s="62" t="str">
        <f>'4ncü Derece'!A18</f>
        <v>Tablo kodu: Sağir ebced değeri 🜨</v>
      </c>
      <c r="C4" s="61" t="s">
        <v>73</v>
      </c>
    </row>
    <row r="5" spans="1:3" ht="105">
      <c r="A5" s="63" t="str">
        <f>IF('4ncü Derece'!A5=0,"",'4ncü Derece'!A5)</f>
        <v xml:space="preserve">وَلَقَدْ مَكَّنَّاكُمْ فِي الأَرْضِ وَجَعَلْنَا لَكُمْ فِيهَا مَعَايِشَ قَلِيلاً مَّا تَشْكُرُونَ </v>
      </c>
      <c r="B5" s="64"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64"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63" t="str">
        <f>IF('4ncü Derece'!A6=0,"",'4ncü Derece'!A6)</f>
        <v xml:space="preserve">لِيَجْزِيَهُمُ اللَّهُ أَحْسَنَ مَا عَمِلُوا وَيَزِيدَهُم مِّن فَضْلِهِ وَاللَّهُ يَرْزُقُ مَن يَشَاء بِغَيْرِ حِسَابٍ </v>
      </c>
      <c r="B6" s="64"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64"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63" t="str">
        <f>IF('4ncü Derece'!A7=0,"",'4ncü Derece'!A7)</f>
        <v xml:space="preserve">إِنَّ هَذَا لَرِزْقُنَا مَا لَهُ مِن نَّفَادٍ </v>
      </c>
      <c r="B7" s="64" t="str">
        <f>IF('4ncü Derece'!C7=1,ABJAD(SAF('4ncü Derece'!A7,""),'4ncü Derece'!B7,'4ncü Derece'!C7,1),ABJAD('4ncü Derece'!A7,'4ncü Derece'!B7,'4ncü Derece'!C7,1))</f>
        <v>[ا=1][ن=50][ه=5][ذ=700][ا=1][ل=30][ر=200][ز=7][ق=100][ن=50][ا=1][م=40][ا=1][ل=30][ه=5][م=40][ن=50][ن=50][ف=80][ا=1][د=4]</v>
      </c>
      <c r="C7" s="64" t="str">
        <f>IF('4ncü Derece'!C7=1,WORDBYWORD(SAF('4ncü Derece'!A7,""),'4ncü Derece'!B7,'4ncü Derece'!D7),WORDBYWORD('4ncü Derece'!A7,'4ncü Derece'!B7,'4ncü Derece'!C7))</f>
        <v xml:space="preserve">ان (51) هذا (706) لرزقنا (388) ما (41) له (35) من (90) نفاد (135) </v>
      </c>
    </row>
    <row r="8" spans="1:3" ht="15">
      <c r="A8" s="63" t="str">
        <f>IF('4ncü Derece'!A8=0,"",'4ncü Derece'!A8)</f>
        <v/>
      </c>
      <c r="B8" s="64" t="str">
        <f>IF('4ncü Derece'!C8=1,ABJAD(SAF('4ncü Derece'!A8,""),'4ncü Derece'!B8,'4ncü Derece'!C8,1),ABJAD('4ncü Derece'!A8,'4ncü Derece'!B8,'4ncü Derece'!C8,1))</f>
        <v/>
      </c>
      <c r="C8" s="64" t="str">
        <f>IF('4ncü Derece'!C8=1,WORDBYWORD(SAF('4ncü Derece'!A8,""),'4ncü Derece'!B8,'4ncü Derece'!D8),WORDBYWORD('4ncü Derece'!A8,'4ncü Derece'!B8,'4ncü Derece'!C8))</f>
        <v/>
      </c>
    </row>
    <row r="9" spans="1:3" ht="15">
      <c r="A9" s="63" t="str">
        <f>IF('4ncü Derece'!A9=0,"",'4ncü Derece'!A9)</f>
        <v/>
      </c>
      <c r="B9" s="64" t="str">
        <f>IF('4ncü Derece'!C9=1,ABJAD(SAF('4ncü Derece'!A9,""),'4ncü Derece'!B9,'4ncü Derece'!C9,1),ABJAD('4ncü Derece'!A9,'4ncü Derece'!B9,'4ncü Derece'!C9,1))</f>
        <v/>
      </c>
      <c r="C9" s="64" t="str">
        <f>IF('4ncü Derece'!C9=1,WORDBYWORD(SAF('4ncü Derece'!A9,""),'4ncü Derece'!B9,'4ncü Derece'!D9),WORDBYWORD('4ncü Derece'!A9,'4ncü Derece'!B9,'4ncü Derece'!C9))</f>
        <v/>
      </c>
    </row>
    <row r="10" spans="1:3" ht="15">
      <c r="A10" s="63" t="str">
        <f>IF('4ncü Derece'!A10=0,"",'4ncü Derece'!A10)</f>
        <v/>
      </c>
      <c r="B10" s="64" t="str">
        <f>IF('4ncü Derece'!C10=1,ABJAD(SAF('4ncü Derece'!A10,""),'4ncü Derece'!B10,'4ncü Derece'!C10,1),ABJAD('4ncü Derece'!A10,'4ncü Derece'!B10,'4ncü Derece'!C10,1))</f>
        <v/>
      </c>
      <c r="C10" s="64" t="str">
        <f>IF('4ncü Derece'!C10=1,WORDBYWORD(SAF('4ncü Derece'!A10,""),'4ncü Derece'!B10,'4ncü Derece'!D10),WORDBYWORD('4ncü Derece'!A10,'4ncü Derece'!B10,'4ncü Derece'!C10))</f>
        <v/>
      </c>
    </row>
    <row r="11" spans="1:3" ht="15">
      <c r="A11" s="63" t="str">
        <f>IF('4ncü Derece'!A11=0,"",'4ncü Derece'!A11)</f>
        <v/>
      </c>
      <c r="B11" s="64" t="str">
        <f>IF('4ncü Derece'!C11=1,ABJAD(SAF('4ncü Derece'!A11,""),'4ncü Derece'!B11,'4ncü Derece'!C11,1),ABJAD('4ncü Derece'!A11,'4ncü Derece'!B11,'4ncü Derece'!C11,1))</f>
        <v/>
      </c>
      <c r="C11" s="64" t="str">
        <f>IF('4ncü Derece'!C11=1,WORDBYWORD(SAF('4ncü Derece'!A11,""),'4ncü Derece'!B11,'4ncü Derece'!D11),WORDBYWORD('4ncü Derece'!A11,'4ncü Derece'!B11,'4ncü Derece'!C11))</f>
        <v/>
      </c>
    </row>
    <row r="12" spans="1:3" ht="15">
      <c r="A12" s="63" t="str">
        <f>IF('4ncü Derece'!A12=0,"",'4ncü Derece'!A12)</f>
        <v/>
      </c>
      <c r="B12" s="64" t="str">
        <f>IF('4ncü Derece'!C12=1,ABJAD(SAF('4ncü Derece'!A12,""),'4ncü Derece'!B12,'4ncü Derece'!C12,1),ABJAD('4ncü Derece'!A12,'4ncü Derece'!B12,'4ncü Derece'!C12,1))</f>
        <v/>
      </c>
      <c r="C12" s="64" t="str">
        <f>IF('4ncü Derece'!C12=1,WORDBYWORD(SAF('4ncü Derece'!A12,""),'4ncü Derece'!B12,'4ncü Derece'!D12),WORDBYWORD('4ncü Derece'!A12,'4ncü Derece'!B12,'4ncü Derece'!C12))</f>
        <v/>
      </c>
    </row>
    <row r="13" spans="1:3" ht="15">
      <c r="A13" s="63" t="str">
        <f>IF('4ncü Derece'!A13=0,"",'4ncü Derece'!A13)</f>
        <v/>
      </c>
      <c r="B13" s="64" t="str">
        <f>IF('4ncü Derece'!C13=1,ABJAD(SAF('4ncü Derece'!A13,""),'4ncü Derece'!B13,'4ncü Derece'!C13,1),ABJAD('4ncü Derece'!A13,'4ncü Derece'!B13,'4ncü Derece'!C13,1))</f>
        <v/>
      </c>
      <c r="C13" s="64" t="str">
        <f>IF('4ncü Derece'!C13=1,WORDBYWORD(SAF('4ncü Derece'!A13,""),'4ncü Derece'!B13,'4ncü Derece'!D13),WORDBYWORD('4ncü Derece'!A13,'4ncü Derece'!B13,'4ncü Derece'!C13))</f>
        <v/>
      </c>
    </row>
    <row r="14" spans="1:3" ht="15">
      <c r="A14" s="63" t="str">
        <f>IF('4ncü Derece'!A14=0,"",'4ncü Derece'!A14)</f>
        <v/>
      </c>
      <c r="B14" s="64" t="str">
        <f>IF('4ncü Derece'!C14=1,ABJAD(SAF('4ncü Derece'!A14,""),'4ncü Derece'!B14,'4ncü Derece'!C14,1),ABJAD('4ncü Derece'!A14,'4ncü Derece'!B14,'4ncü Derece'!C14,1))</f>
        <v/>
      </c>
      <c r="C14" s="64" t="str">
        <f>IF('4ncü Derece'!C14=1,WORDBYWORD(SAF('4ncü Derece'!A14,""),'4ncü Derece'!B14,'4ncü Derece'!D14),WORDBYWORD('4ncü Derece'!A14,'4ncü Derece'!B14,'4ncü Derece'!C14))</f>
        <v/>
      </c>
    </row>
    <row r="15" spans="1:3" ht="15">
      <c r="A15" s="63" t="str">
        <f>IF('4ncü Derece'!A15=0,"",'4ncü Derece'!A15)</f>
        <v/>
      </c>
      <c r="B15" s="64" t="str">
        <f>IF('4ncü Derece'!C15=1,ABJAD(SAF('4ncü Derece'!A15,""),'4ncü Derece'!B15,'4ncü Derece'!C15,1),ABJAD('4ncü Derece'!A15,'4ncü Derece'!B15,'4ncü Derece'!C15,1))</f>
        <v/>
      </c>
      <c r="C15" s="64" t="str">
        <f>IF('4ncü Derece'!C15=1,WORDBYWORD(SAF('4ncü Derece'!A15,""),'4ncü Derece'!B15,'4ncü Derece'!D15),WORDBYWORD('4ncü Derece'!A15,'4ncü Derece'!B15,'4ncü Derece'!C15))</f>
        <v/>
      </c>
    </row>
    <row r="16" spans="1:3" ht="15">
      <c r="A16" s="63" t="str">
        <f>IF('4ncü Derece'!A16=0,"",'4ncü Derece'!A16)</f>
        <v/>
      </c>
      <c r="B16" s="64" t="str">
        <f>IF('4ncü Derece'!C16=1,ABJAD(SAF('4ncü Derece'!A16,""),'4ncü Derece'!B16,'4ncü Derece'!C16,1),ABJAD('4ncü Derece'!A16,'4ncü Derece'!B16,'4ncü Derece'!C16,1))</f>
        <v/>
      </c>
      <c r="C16" s="64" t="str">
        <f>IF('4ncü Derece'!C16=1,WORDBYWORD(SAF('4ncü Derece'!A16,""),'4ncü Derece'!B16,'4ncü Derece'!D16),WORDBYWORD('4ncü Derece'!A16,'4ncü Derece'!B16,'4ncü Derece'!C16))</f>
        <v/>
      </c>
    </row>
    <row r="17" spans="1:3" ht="15">
      <c r="A17" s="63" t="str">
        <f>IF('4ncü Derece'!A17=0,"",'4ncü Derece'!A17)</f>
        <v/>
      </c>
      <c r="B17" s="64" t="str">
        <f>IF('4ncü Derece'!C17=1,ABJAD(SAF('4ncü Derece'!A17,""),'4ncü Derece'!B17,'4ncü Derece'!C17,1),ABJAD('4ncü Derece'!A17,'4ncü Derece'!B17,'4ncü Derece'!C17,1))</f>
        <v/>
      </c>
      <c r="C17" s="64" t="str">
        <f>IF('4ncü Derece'!C17=1,WORDBYWORD(SAF('4ncü Derece'!A17,""),'4ncü Derece'!B17,'4ncü Derece'!D17),WORDBYWORD('4ncü Derece'!A17,'4ncü Derece'!B17,'4ncü Derece'!C17))</f>
        <v/>
      </c>
    </row>
    <row r="18" spans="1:3" ht="18">
      <c r="A18" s="65" t="s">
        <v>74</v>
      </c>
      <c r="B18" s="65" t="str">
        <f>IF('4ncü Derece'!C3 = 1, "Şeddeli harfi tek sefer hesaba kat", "Şeddeli harfi iki kere hesaba kat")</f>
        <v>Şeddeli harfi tek sefer hesaba kat</v>
      </c>
      <c r="C18" s="65" t="s">
        <v>73</v>
      </c>
    </row>
    <row r="19" spans="1:3" ht="14.25">
      <c r="A19" s="66"/>
      <c r="B19" s="67"/>
    </row>
    <row r="20" spans="1:3" ht="14.25">
      <c r="A20" s="66"/>
      <c r="B20" s="67"/>
    </row>
    <row r="21" spans="1:3" ht="14.25">
      <c r="A21" s="66"/>
      <c r="B21" s="67"/>
    </row>
    <row r="22" spans="1:3" ht="14.25">
      <c r="A22" s="66"/>
      <c r="B22" s="67"/>
    </row>
    <row r="23" spans="1:3" ht="14.25">
      <c r="A23" s="66"/>
      <c r="B23" s="67"/>
    </row>
    <row r="24" spans="1:3" ht="14.25">
      <c r="A24" s="66"/>
      <c r="B24" s="67"/>
    </row>
    <row r="25" spans="1:3" ht="14.25">
      <c r="A25" s="66"/>
      <c r="B25" s="67"/>
    </row>
    <row r="26" spans="1:3" ht="14.25">
      <c r="A26" s="66"/>
      <c r="B26" s="67"/>
    </row>
    <row r="27" spans="1:3" ht="14.25">
      <c r="A27" s="66"/>
      <c r="B27" s="67"/>
    </row>
    <row r="28" spans="1:3" ht="14.25">
      <c r="A28" s="66"/>
      <c r="B28" s="67"/>
    </row>
    <row r="29" spans="1:3" ht="14.25">
      <c r="A29" s="66"/>
      <c r="B29" s="67"/>
    </row>
    <row r="30" spans="1:3" ht="14.25">
      <c r="A30" s="66"/>
      <c r="B30" s="67"/>
    </row>
    <row r="31" spans="1:3" ht="14.25">
      <c r="A31" s="66"/>
      <c r="B31" s="67"/>
    </row>
    <row r="32" spans="1:3" ht="14.25">
      <c r="A32" s="66"/>
      <c r="B32" s="67"/>
    </row>
    <row r="33" spans="1:2" ht="14.25">
      <c r="A33" s="66"/>
      <c r="B33" s="67"/>
    </row>
    <row r="34" spans="1:2" ht="14.25">
      <c r="A34" s="66"/>
      <c r="B34" s="67"/>
    </row>
    <row r="35" spans="1:2" ht="14.25">
      <c r="A35" s="66"/>
      <c r="B35" s="67"/>
    </row>
    <row r="36" spans="1:2" ht="14.25">
      <c r="A36" s="66"/>
      <c r="B36" s="67"/>
    </row>
    <row r="37" spans="1:2" ht="14.25">
      <c r="A37" s="66"/>
      <c r="B37" s="67"/>
    </row>
    <row r="38" spans="1:2" ht="14.25">
      <c r="A38" s="66"/>
      <c r="B38" s="67"/>
    </row>
    <row r="39" spans="1:2" ht="14.25">
      <c r="A39" s="66"/>
      <c r="B39" s="67"/>
    </row>
    <row r="40" spans="1:2" ht="14.25">
      <c r="A40" s="66"/>
      <c r="B40" s="67"/>
    </row>
    <row r="41" spans="1:2" ht="14.25">
      <c r="A41" s="66"/>
      <c r="B41" s="67"/>
    </row>
    <row r="42" spans="1:2" ht="14.25">
      <c r="A42" s="66"/>
      <c r="B42" s="67"/>
    </row>
    <row r="43" spans="1:2" ht="14.25">
      <c r="A43" s="66"/>
      <c r="B43" s="67"/>
    </row>
    <row r="44" spans="1:2" ht="14.25">
      <c r="A44" s="66"/>
      <c r="B44" s="67"/>
    </row>
    <row r="45" spans="1:2" ht="14.25">
      <c r="A45" s="66"/>
      <c r="B45" s="67"/>
    </row>
    <row r="46" spans="1:2" ht="14.25">
      <c r="A46" s="66"/>
      <c r="B46" s="67"/>
    </row>
    <row r="47" spans="1:2" ht="14.25">
      <c r="A47" s="66"/>
      <c r="B47" s="67"/>
    </row>
    <row r="48" spans="1:2" ht="14.25">
      <c r="A48" s="66"/>
      <c r="B48" s="67"/>
    </row>
    <row r="49" spans="1:2" ht="14.25">
      <c r="A49" s="66"/>
      <c r="B49" s="67"/>
    </row>
    <row r="50" spans="1:2" ht="14.25">
      <c r="A50" s="66"/>
      <c r="B50" s="67"/>
    </row>
    <row r="51" spans="1:2" ht="14.25">
      <c r="A51" s="66"/>
      <c r="B51" s="67"/>
    </row>
    <row r="52" spans="1:2" ht="14.25">
      <c r="A52" s="66"/>
      <c r="B52" s="67"/>
    </row>
    <row r="53" spans="1:2" ht="14.25">
      <c r="A53" s="66"/>
      <c r="B53" s="67"/>
    </row>
    <row r="54" spans="1:2" ht="14.25">
      <c r="A54" s="66"/>
      <c r="B54" s="67"/>
    </row>
    <row r="55" spans="1:2" ht="14.25">
      <c r="A55" s="66"/>
      <c r="B55" s="67"/>
    </row>
    <row r="56" spans="1:2" ht="14.25">
      <c r="A56" s="66"/>
      <c r="B56" s="67"/>
    </row>
    <row r="57" spans="1:2" ht="14.25">
      <c r="A57" s="66"/>
      <c r="B57" s="67"/>
    </row>
    <row r="58" spans="1:2" ht="14.25">
      <c r="A58" s="66"/>
      <c r="B58" s="67"/>
    </row>
    <row r="59" spans="1:2" ht="14.25">
      <c r="A59" s="66"/>
      <c r="B59" s="67"/>
    </row>
    <row r="60" spans="1:2" ht="14.25">
      <c r="A60" s="66"/>
      <c r="B60" s="67"/>
    </row>
    <row r="61" spans="1:2" ht="14.25">
      <c r="A61" s="66"/>
      <c r="B61" s="67"/>
    </row>
    <row r="62" spans="1:2" ht="14.25">
      <c r="A62" s="66"/>
      <c r="B62" s="67"/>
    </row>
    <row r="63" spans="1:2" ht="14.25">
      <c r="A63" s="66"/>
      <c r="B63" s="67"/>
    </row>
    <row r="64" spans="1:2" ht="14.25">
      <c r="A64" s="66"/>
      <c r="B64" s="67"/>
    </row>
    <row r="65" spans="1:2" ht="14.25">
      <c r="A65" s="66"/>
      <c r="B65" s="67"/>
    </row>
    <row r="66" spans="1:2" ht="14.25">
      <c r="A66" s="66"/>
      <c r="B66" s="67"/>
    </row>
    <row r="67" spans="1:2" ht="14.25">
      <c r="A67" s="66"/>
      <c r="B67" s="67"/>
    </row>
    <row r="68" spans="1:2" ht="14.25">
      <c r="A68" s="66"/>
      <c r="B68" s="67"/>
    </row>
    <row r="69" spans="1:2" ht="14.25">
      <c r="A69" s="66"/>
      <c r="B69" s="67"/>
    </row>
    <row r="70" spans="1:2" ht="14.25">
      <c r="A70" s="66"/>
      <c r="B70" s="67"/>
    </row>
    <row r="71" spans="1:2" ht="14.25">
      <c r="A71" s="66"/>
      <c r="B71" s="67"/>
    </row>
    <row r="72" spans="1:2" ht="14.25">
      <c r="A72" s="66"/>
      <c r="B72" s="67"/>
    </row>
    <row r="73" spans="1:2" ht="14.25">
      <c r="A73" s="66"/>
      <c r="B73" s="67"/>
    </row>
    <row r="74" spans="1:2" ht="14.25">
      <c r="A74" s="66"/>
      <c r="B74" s="67"/>
    </row>
    <row r="75" spans="1:2" ht="14.25">
      <c r="A75" s="66"/>
      <c r="B75" s="67"/>
    </row>
    <row r="76" spans="1:2" ht="14.25">
      <c r="A76" s="66"/>
      <c r="B76" s="67"/>
    </row>
    <row r="77" spans="1:2" ht="14.25">
      <c r="A77" s="66"/>
      <c r="B77" s="67"/>
    </row>
    <row r="78" spans="1:2" ht="14.25">
      <c r="A78" s="66"/>
      <c r="B78" s="67"/>
    </row>
    <row r="79" spans="1:2" ht="14.25">
      <c r="A79" s="66"/>
      <c r="B79" s="67"/>
    </row>
    <row r="80" spans="1:2" ht="14.25">
      <c r="A80" s="66"/>
      <c r="B80" s="67"/>
    </row>
    <row r="81" spans="1:2" ht="14.25">
      <c r="A81" s="66"/>
      <c r="B81" s="67"/>
    </row>
    <row r="82" spans="1:2" ht="14.25">
      <c r="A82" s="66"/>
      <c r="B82" s="67"/>
    </row>
    <row r="83" spans="1:2" ht="14.25">
      <c r="A83" s="66"/>
      <c r="B83" s="67"/>
    </row>
    <row r="84" spans="1:2" ht="14.25">
      <c r="A84" s="66"/>
      <c r="B84" s="67"/>
    </row>
    <row r="85" spans="1:2" ht="14.25">
      <c r="A85" s="66"/>
      <c r="B85" s="67"/>
    </row>
    <row r="86" spans="1:2" ht="14.25">
      <c r="A86" s="66"/>
      <c r="B86" s="67"/>
    </row>
    <row r="87" spans="1:2" ht="14.25">
      <c r="A87" s="66"/>
      <c r="B87" s="67"/>
    </row>
    <row r="88" spans="1:2" ht="14.25">
      <c r="A88" s="66"/>
      <c r="B88" s="67"/>
    </row>
    <row r="89" spans="1:2" ht="14.25">
      <c r="A89" s="66"/>
      <c r="B89" s="67"/>
    </row>
    <row r="90" spans="1:2" ht="14.25">
      <c r="A90" s="66"/>
      <c r="B90" s="67"/>
    </row>
    <row r="91" spans="1:2" ht="14.25">
      <c r="A91" s="66"/>
      <c r="B91" s="67"/>
    </row>
    <row r="92" spans="1:2" ht="14.25">
      <c r="A92" s="66"/>
      <c r="B92" s="67"/>
    </row>
    <row r="93" spans="1:2" ht="14.25">
      <c r="A93" s="66"/>
      <c r="B93" s="67"/>
    </row>
    <row r="94" spans="1:2" ht="14.25">
      <c r="A94" s="66"/>
      <c r="B94" s="67"/>
    </row>
    <row r="95" spans="1:2" ht="14.25">
      <c r="A95" s="66"/>
      <c r="B95" s="67"/>
    </row>
    <row r="96" spans="1:2" ht="14.25">
      <c r="A96" s="66"/>
      <c r="B96" s="67"/>
    </row>
    <row r="97" spans="1:2" ht="14.25">
      <c r="A97" s="66"/>
      <c r="B97" s="67"/>
    </row>
    <row r="98" spans="1:2" ht="14.25">
      <c r="A98" s="66"/>
      <c r="B98" s="67"/>
    </row>
    <row r="99" spans="1:2" ht="14.25">
      <c r="A99" s="66"/>
      <c r="B99" s="67"/>
    </row>
    <row r="100" spans="1:2" ht="14.25">
      <c r="A100" s="66"/>
      <c r="B100" s="67"/>
    </row>
    <row r="101" spans="1:2" ht="14.25">
      <c r="A101" s="66"/>
      <c r="B101" s="67"/>
    </row>
    <row r="102" spans="1:2" ht="14.25">
      <c r="A102" s="66"/>
      <c r="B102" s="67"/>
    </row>
    <row r="103" spans="1:2" ht="14.25">
      <c r="A103" s="66"/>
      <c r="B103" s="67"/>
    </row>
    <row r="104" spans="1:2" ht="14.25">
      <c r="A104" s="66"/>
      <c r="B104" s="67"/>
    </row>
    <row r="105" spans="1:2" ht="14.25">
      <c r="A105" s="66"/>
      <c r="B105" s="67"/>
    </row>
    <row r="106" spans="1:2" ht="14.25">
      <c r="A106" s="66"/>
      <c r="B106" s="67"/>
    </row>
    <row r="107" spans="1:2" ht="14.25">
      <c r="A107" s="66"/>
      <c r="B107" s="67"/>
    </row>
    <row r="108" spans="1:2" ht="14.25">
      <c r="A108" s="66"/>
      <c r="B108" s="67"/>
    </row>
    <row r="109" spans="1:2" ht="14.25">
      <c r="A109" s="66"/>
      <c r="B109" s="67"/>
    </row>
    <row r="110" spans="1:2" ht="14.25">
      <c r="A110" s="66"/>
      <c r="B110" s="67"/>
    </row>
    <row r="111" spans="1:2" ht="14.25">
      <c r="A111" s="66"/>
      <c r="B111" s="67"/>
    </row>
    <row r="112" spans="1:2" ht="14.25">
      <c r="A112" s="66"/>
      <c r="B112" s="67"/>
    </row>
    <row r="113" spans="1:2" ht="14.25">
      <c r="A113" s="66"/>
      <c r="B113" s="67"/>
    </row>
    <row r="114" spans="1:2" ht="14.25">
      <c r="A114" s="66"/>
      <c r="B114" s="67"/>
    </row>
    <row r="115" spans="1:2" ht="14.25">
      <c r="A115" s="66"/>
      <c r="B115" s="67"/>
    </row>
    <row r="116" spans="1:2" ht="14.25">
      <c r="A116" s="66"/>
      <c r="B116" s="67"/>
    </row>
    <row r="117" spans="1:2" ht="14.25">
      <c r="A117" s="66"/>
      <c r="B117" s="67"/>
    </row>
    <row r="118" spans="1:2" ht="14.25">
      <c r="A118" s="66"/>
      <c r="B118" s="67"/>
    </row>
    <row r="119" spans="1:2" ht="14.25">
      <c r="A119" s="66"/>
      <c r="B119" s="67"/>
    </row>
    <row r="120" spans="1:2" ht="14.25">
      <c r="A120" s="66"/>
      <c r="B120" s="67"/>
    </row>
    <row r="121" spans="1:2" ht="14.25">
      <c r="A121" s="66"/>
      <c r="B121" s="67"/>
    </row>
    <row r="122" spans="1:2" ht="14.25">
      <c r="A122" s="66"/>
      <c r="B122" s="67"/>
    </row>
    <row r="123" spans="1:2" ht="14.25">
      <c r="A123" s="66"/>
      <c r="B123" s="67"/>
    </row>
    <row r="124" spans="1:2" ht="14.25">
      <c r="A124" s="66"/>
      <c r="B124" s="67"/>
    </row>
    <row r="125" spans="1:2" ht="14.25">
      <c r="A125" s="66"/>
      <c r="B125" s="67"/>
    </row>
    <row r="126" spans="1:2" ht="14.25">
      <c r="A126" s="66"/>
      <c r="B126" s="67"/>
    </row>
    <row r="127" spans="1:2" ht="14.25">
      <c r="A127" s="66"/>
      <c r="B127" s="67"/>
    </row>
    <row r="128" spans="1:2" ht="14.25">
      <c r="A128" s="66"/>
      <c r="B128" s="67"/>
    </row>
    <row r="129" spans="1:2" ht="14.25">
      <c r="A129" s="66"/>
      <c r="B129" s="67"/>
    </row>
    <row r="130" spans="1:2" ht="14.25">
      <c r="A130" s="66"/>
      <c r="B130" s="67"/>
    </row>
    <row r="131" spans="1:2" ht="14.25">
      <c r="A131" s="66"/>
      <c r="B131" s="67"/>
    </row>
    <row r="132" spans="1:2" ht="14.25">
      <c r="A132" s="66"/>
      <c r="B132" s="67"/>
    </row>
    <row r="133" spans="1:2" ht="14.25">
      <c r="A133" s="66"/>
      <c r="B133" s="67"/>
    </row>
    <row r="134" spans="1:2" ht="14.25">
      <c r="A134" s="66"/>
      <c r="B134" s="67"/>
    </row>
    <row r="135" spans="1:2" ht="14.25">
      <c r="A135" s="66"/>
      <c r="B135" s="67"/>
    </row>
    <row r="136" spans="1:2" ht="14.25">
      <c r="A136" s="66"/>
      <c r="B136" s="67"/>
    </row>
    <row r="137" spans="1:2" ht="14.25">
      <c r="A137" s="66"/>
      <c r="B137" s="67"/>
    </row>
    <row r="138" spans="1:2" ht="14.25">
      <c r="A138" s="66"/>
      <c r="B138" s="67"/>
    </row>
    <row r="139" spans="1:2" ht="14.25">
      <c r="A139" s="66"/>
      <c r="B139" s="67"/>
    </row>
    <row r="140" spans="1:2" ht="14.25">
      <c r="A140" s="66"/>
      <c r="B140" s="67"/>
    </row>
    <row r="141" spans="1:2" ht="14.25">
      <c r="A141" s="66"/>
      <c r="B141" s="67"/>
    </row>
    <row r="142" spans="1:2" ht="14.25">
      <c r="A142" s="66"/>
      <c r="B142" s="67"/>
    </row>
    <row r="143" spans="1:2" ht="14.25">
      <c r="A143" s="66"/>
      <c r="B143" s="67"/>
    </row>
    <row r="144" spans="1:2" ht="14.25">
      <c r="A144" s="66"/>
      <c r="B144" s="67"/>
    </row>
    <row r="145" spans="1:2" ht="14.25">
      <c r="A145" s="66"/>
      <c r="B145" s="67"/>
    </row>
    <row r="146" spans="1:2" ht="14.25">
      <c r="A146" s="66"/>
      <c r="B146" s="67"/>
    </row>
    <row r="147" spans="1:2" ht="14.25">
      <c r="A147" s="66"/>
      <c r="B147" s="67"/>
    </row>
    <row r="148" spans="1:2" ht="14.25">
      <c r="A148" s="66"/>
      <c r="B148" s="67"/>
    </row>
    <row r="149" spans="1:2" ht="14.25">
      <c r="A149" s="66"/>
      <c r="B149" s="67"/>
    </row>
    <row r="150" spans="1:2" ht="14.25">
      <c r="A150" s="66"/>
      <c r="B150" s="67"/>
    </row>
    <row r="151" spans="1:2" ht="14.25">
      <c r="A151" s="66"/>
      <c r="B151" s="67"/>
    </row>
    <row r="152" spans="1:2" ht="14.25">
      <c r="A152" s="66"/>
      <c r="B152" s="67"/>
    </row>
    <row r="153" spans="1:2" ht="14.25">
      <c r="A153" s="66"/>
      <c r="B153" s="67"/>
    </row>
    <row r="154" spans="1:2" ht="14.25">
      <c r="A154" s="66"/>
      <c r="B154" s="67"/>
    </row>
    <row r="155" spans="1:2" ht="14.25">
      <c r="A155" s="66"/>
      <c r="B155" s="67"/>
    </row>
    <row r="156" spans="1:2" ht="14.25">
      <c r="A156" s="66"/>
      <c r="B156" s="67"/>
    </row>
    <row r="157" spans="1:2" ht="14.25">
      <c r="A157" s="66"/>
      <c r="B157" s="67"/>
    </row>
    <row r="158" spans="1:2" ht="14.25">
      <c r="A158" s="66"/>
      <c r="B158" s="67"/>
    </row>
    <row r="159" spans="1:2" ht="14.25">
      <c r="A159" s="66"/>
      <c r="B159" s="67"/>
    </row>
    <row r="160" spans="1:2" ht="14.25">
      <c r="A160" s="66"/>
      <c r="B160" s="67"/>
    </row>
    <row r="161" spans="1:2" ht="14.25">
      <c r="A161" s="66"/>
      <c r="B161" s="67"/>
    </row>
    <row r="162" spans="1:2" ht="14.25">
      <c r="A162" s="66"/>
      <c r="B162" s="67"/>
    </row>
    <row r="163" spans="1:2" ht="14.25">
      <c r="A163" s="66"/>
      <c r="B163" s="67"/>
    </row>
    <row r="164" spans="1:2" ht="14.25">
      <c r="A164" s="66"/>
      <c r="B164" s="67"/>
    </row>
    <row r="165" spans="1:2" ht="14.25">
      <c r="A165" s="66"/>
      <c r="B165" s="67"/>
    </row>
    <row r="166" spans="1:2" ht="14.25">
      <c r="A166" s="66"/>
      <c r="B166" s="67"/>
    </row>
    <row r="167" spans="1:2" ht="14.25">
      <c r="A167" s="66"/>
      <c r="B167" s="67"/>
    </row>
    <row r="168" spans="1:2" ht="14.25">
      <c r="A168" s="66"/>
      <c r="B168" s="67"/>
    </row>
    <row r="169" spans="1:2" ht="14.25">
      <c r="A169" s="66"/>
      <c r="B169" s="67"/>
    </row>
    <row r="170" spans="1:2" ht="14.25">
      <c r="A170" s="66"/>
      <c r="B170" s="67"/>
    </row>
    <row r="171" spans="1:2" ht="14.25">
      <c r="A171" s="66"/>
      <c r="B171" s="67"/>
    </row>
    <row r="172" spans="1:2" ht="14.25">
      <c r="A172" s="66"/>
      <c r="B172" s="67"/>
    </row>
    <row r="173" spans="1:2" ht="14.25">
      <c r="A173" s="66"/>
      <c r="B173" s="67"/>
    </row>
    <row r="174" spans="1:2" ht="14.25">
      <c r="A174" s="66"/>
      <c r="B174" s="67"/>
    </row>
    <row r="175" spans="1:2" ht="14.25">
      <c r="A175" s="66"/>
      <c r="B175" s="67"/>
    </row>
    <row r="176" spans="1:2" ht="14.25">
      <c r="A176" s="66"/>
      <c r="B176" s="67"/>
    </row>
    <row r="177" spans="1:2" ht="14.25">
      <c r="A177" s="66"/>
      <c r="B177" s="67"/>
    </row>
    <row r="178" spans="1:2" ht="14.25">
      <c r="A178" s="66"/>
      <c r="B178" s="67"/>
    </row>
    <row r="179" spans="1:2" ht="14.25">
      <c r="A179" s="66"/>
      <c r="B179" s="67"/>
    </row>
    <row r="180" spans="1:2" ht="14.25">
      <c r="A180" s="66"/>
      <c r="B180" s="67"/>
    </row>
    <row r="181" spans="1:2" ht="14.25">
      <c r="A181" s="66"/>
      <c r="B181" s="67"/>
    </row>
    <row r="182" spans="1:2" ht="14.25">
      <c r="A182" s="66"/>
      <c r="B182" s="67"/>
    </row>
    <row r="183" spans="1:2" ht="14.25">
      <c r="A183" s="66"/>
      <c r="B183" s="67"/>
    </row>
    <row r="184" spans="1:2" ht="14.25">
      <c r="A184" s="66"/>
      <c r="B184" s="67"/>
    </row>
    <row r="185" spans="1:2" ht="14.25">
      <c r="A185" s="66"/>
      <c r="B185" s="67"/>
    </row>
    <row r="186" spans="1:2" ht="14.25">
      <c r="A186" s="66"/>
      <c r="B186" s="67"/>
    </row>
    <row r="187" spans="1:2" ht="14.25">
      <c r="A187" s="66"/>
      <c r="B187" s="67"/>
    </row>
    <row r="188" spans="1:2" ht="14.25">
      <c r="A188" s="66"/>
      <c r="B188" s="67"/>
    </row>
    <row r="189" spans="1:2" ht="14.25">
      <c r="A189" s="66"/>
      <c r="B189" s="67"/>
    </row>
    <row r="190" spans="1:2" ht="14.25">
      <c r="A190" s="66"/>
      <c r="B190" s="67"/>
    </row>
    <row r="191" spans="1:2" ht="14.25">
      <c r="A191" s="66"/>
      <c r="B191" s="67"/>
    </row>
    <row r="192" spans="1:2" ht="14.25">
      <c r="A192" s="66"/>
      <c r="B192" s="67"/>
    </row>
    <row r="193" spans="1:2" ht="14.25">
      <c r="A193" s="66"/>
      <c r="B193" s="67"/>
    </row>
    <row r="194" spans="1:2" ht="14.25">
      <c r="A194" s="66"/>
      <c r="B194" s="67"/>
    </row>
    <row r="195" spans="1:2" ht="14.25">
      <c r="A195" s="66"/>
      <c r="B195" s="67"/>
    </row>
    <row r="196" spans="1:2" ht="14.25">
      <c r="A196" s="66"/>
      <c r="B196" s="67"/>
    </row>
    <row r="197" spans="1:2" ht="14.25">
      <c r="A197" s="66"/>
      <c r="B197" s="67"/>
    </row>
    <row r="198" spans="1:2" ht="14.25">
      <c r="A198" s="66"/>
      <c r="B198" s="67"/>
    </row>
    <row r="199" spans="1:2" ht="14.25">
      <c r="A199" s="66"/>
      <c r="B199" s="67"/>
    </row>
    <row r="200" spans="1:2" ht="14.25">
      <c r="A200" s="66"/>
      <c r="B200" s="67"/>
    </row>
    <row r="201" spans="1:2" ht="14.25">
      <c r="A201" s="66"/>
      <c r="B201" s="67"/>
    </row>
    <row r="202" spans="1:2" ht="14.25">
      <c r="A202" s="66"/>
      <c r="B202" s="67"/>
    </row>
    <row r="203" spans="1:2" ht="14.25">
      <c r="A203" s="66"/>
      <c r="B203" s="67"/>
    </row>
    <row r="204" spans="1:2" ht="14.25">
      <c r="A204" s="66"/>
      <c r="B204" s="67"/>
    </row>
    <row r="205" spans="1:2" ht="14.25">
      <c r="A205" s="66"/>
      <c r="B205" s="67"/>
    </row>
    <row r="206" spans="1:2" ht="14.25">
      <c r="A206" s="66"/>
      <c r="B206" s="67"/>
    </row>
    <row r="207" spans="1:2" ht="14.25">
      <c r="A207" s="66"/>
      <c r="B207" s="67"/>
    </row>
    <row r="208" spans="1:2" ht="14.25">
      <c r="A208" s="66"/>
      <c r="B208" s="67"/>
    </row>
    <row r="209" spans="1:2" ht="14.25">
      <c r="A209" s="66"/>
      <c r="B209" s="67"/>
    </row>
    <row r="210" spans="1:2" ht="14.25">
      <c r="A210" s="66"/>
      <c r="B210" s="67"/>
    </row>
    <row r="211" spans="1:2" ht="14.25">
      <c r="A211" s="66"/>
      <c r="B211" s="67"/>
    </row>
    <row r="212" spans="1:2" ht="14.25">
      <c r="A212" s="66"/>
      <c r="B212" s="67"/>
    </row>
    <row r="213" spans="1:2" ht="14.25">
      <c r="A213" s="66"/>
      <c r="B213" s="67"/>
    </row>
    <row r="214" spans="1:2" ht="14.25">
      <c r="A214" s="66"/>
      <c r="B214" s="67"/>
    </row>
    <row r="215" spans="1:2" ht="14.25">
      <c r="A215" s="66"/>
      <c r="B215" s="67"/>
    </row>
    <row r="216" spans="1:2" ht="14.25">
      <c r="A216" s="66"/>
      <c r="B216" s="67"/>
    </row>
    <row r="217" spans="1:2" ht="14.25">
      <c r="A217" s="66"/>
      <c r="B217" s="67"/>
    </row>
    <row r="218" spans="1:2" ht="14.25">
      <c r="A218" s="66"/>
      <c r="B218" s="67"/>
    </row>
    <row r="219" spans="1:2" ht="14.25">
      <c r="A219" s="66"/>
      <c r="B219" s="67"/>
    </row>
    <row r="220" spans="1:2" ht="14.25">
      <c r="A220" s="66"/>
      <c r="B220" s="67"/>
    </row>
    <row r="221" spans="1:2" ht="14.25">
      <c r="A221" s="66"/>
      <c r="B221" s="67"/>
    </row>
    <row r="222" spans="1:2" ht="14.25">
      <c r="A222" s="66"/>
      <c r="B222" s="67"/>
    </row>
    <row r="223" spans="1:2" ht="14.25">
      <c r="A223" s="66"/>
      <c r="B223" s="67"/>
    </row>
    <row r="224" spans="1:2" ht="14.25">
      <c r="A224" s="66"/>
      <c r="B224" s="67"/>
    </row>
    <row r="225" spans="1:2" ht="14.25">
      <c r="A225" s="66"/>
      <c r="B225" s="67"/>
    </row>
    <row r="226" spans="1:2" ht="14.25">
      <c r="A226" s="66"/>
      <c r="B226" s="67"/>
    </row>
    <row r="227" spans="1:2" ht="14.25">
      <c r="A227" s="66"/>
      <c r="B227" s="67"/>
    </row>
    <row r="228" spans="1:2" ht="14.25">
      <c r="A228" s="66"/>
      <c r="B228" s="67"/>
    </row>
    <row r="229" spans="1:2" ht="14.25">
      <c r="A229" s="66"/>
      <c r="B229" s="67"/>
    </row>
    <row r="230" spans="1:2" ht="14.25">
      <c r="A230" s="66"/>
      <c r="B230" s="67"/>
    </row>
    <row r="231" spans="1:2" ht="14.25">
      <c r="A231" s="66"/>
      <c r="B231" s="67"/>
    </row>
    <row r="232" spans="1:2" ht="14.25">
      <c r="A232" s="66"/>
      <c r="B232" s="67"/>
    </row>
    <row r="233" spans="1:2" ht="14.25">
      <c r="A233" s="66"/>
      <c r="B233" s="67"/>
    </row>
    <row r="234" spans="1:2" ht="14.25">
      <c r="A234" s="66"/>
      <c r="B234" s="67"/>
    </row>
    <row r="235" spans="1:2" ht="14.25">
      <c r="A235" s="66"/>
      <c r="B235" s="67"/>
    </row>
    <row r="236" spans="1:2" ht="14.25">
      <c r="A236" s="66"/>
      <c r="B236" s="67"/>
    </row>
    <row r="237" spans="1:2" ht="14.25">
      <c r="A237" s="66"/>
      <c r="B237" s="67"/>
    </row>
    <row r="238" spans="1:2" ht="14.25">
      <c r="A238" s="66"/>
      <c r="B238" s="67"/>
    </row>
    <row r="239" spans="1:2" ht="14.25">
      <c r="A239" s="66"/>
      <c r="B239" s="67"/>
    </row>
    <row r="240" spans="1:2" ht="14.25">
      <c r="A240" s="66"/>
      <c r="B240" s="67"/>
    </row>
    <row r="241" spans="1:2" ht="14.25">
      <c r="A241" s="66"/>
      <c r="B241" s="67"/>
    </row>
    <row r="242" spans="1:2" ht="14.25">
      <c r="A242" s="66"/>
      <c r="B242" s="67"/>
    </row>
    <row r="243" spans="1:2" ht="14.25">
      <c r="A243" s="66"/>
      <c r="B243" s="67"/>
    </row>
    <row r="244" spans="1:2" ht="14.25">
      <c r="A244" s="66"/>
      <c r="B244" s="67"/>
    </row>
    <row r="245" spans="1:2" ht="14.25">
      <c r="A245" s="66"/>
      <c r="B245" s="67"/>
    </row>
    <row r="246" spans="1:2" ht="14.25">
      <c r="A246" s="66"/>
      <c r="B246" s="67"/>
    </row>
    <row r="247" spans="1:2" ht="14.25">
      <c r="A247" s="66"/>
      <c r="B247" s="67"/>
    </row>
    <row r="248" spans="1:2" ht="14.25">
      <c r="A248" s="66"/>
      <c r="B248" s="67"/>
    </row>
    <row r="249" spans="1:2" ht="14.25">
      <c r="A249" s="66"/>
      <c r="B249" s="67"/>
    </row>
    <row r="250" spans="1:2" ht="14.25">
      <c r="A250" s="66"/>
      <c r="B250" s="67"/>
    </row>
    <row r="251" spans="1:2" ht="14.25">
      <c r="A251" s="66"/>
      <c r="B251" s="67"/>
    </row>
    <row r="252" spans="1:2" ht="14.25">
      <c r="A252" s="66"/>
      <c r="B252" s="67"/>
    </row>
    <row r="253" spans="1:2" ht="14.25">
      <c r="A253" s="66"/>
      <c r="B253" s="67"/>
    </row>
    <row r="254" spans="1:2" ht="14.25">
      <c r="A254" s="66"/>
      <c r="B254" s="67"/>
    </row>
    <row r="255" spans="1:2" ht="14.25">
      <c r="A255" s="66"/>
      <c r="B255" s="67"/>
    </row>
    <row r="256" spans="1:2" ht="14.25">
      <c r="A256" s="66"/>
      <c r="B256" s="67"/>
    </row>
    <row r="257" spans="1:2" ht="14.25">
      <c r="A257" s="66"/>
      <c r="B257" s="67"/>
    </row>
    <row r="258" spans="1:2" ht="14.25">
      <c r="A258" s="66"/>
      <c r="B258" s="67"/>
    </row>
    <row r="259" spans="1:2" ht="14.25">
      <c r="A259" s="66"/>
      <c r="B259" s="67"/>
    </row>
    <row r="260" spans="1:2" ht="14.25">
      <c r="A260" s="66"/>
      <c r="B260" s="67"/>
    </row>
    <row r="261" spans="1:2" ht="14.25">
      <c r="A261" s="66"/>
      <c r="B261" s="67"/>
    </row>
    <row r="262" spans="1:2" ht="14.25">
      <c r="A262" s="66"/>
      <c r="B262" s="67"/>
    </row>
    <row r="263" spans="1:2" ht="14.25">
      <c r="A263" s="66"/>
      <c r="B263" s="67"/>
    </row>
    <row r="264" spans="1:2" ht="14.25">
      <c r="A264" s="66"/>
      <c r="B264" s="67"/>
    </row>
    <row r="265" spans="1:2" ht="14.25">
      <c r="A265" s="66"/>
      <c r="B265" s="67"/>
    </row>
    <row r="266" spans="1:2" ht="14.25">
      <c r="A266" s="66"/>
      <c r="B266" s="67"/>
    </row>
    <row r="267" spans="1:2" ht="14.25">
      <c r="A267" s="66"/>
      <c r="B267" s="67"/>
    </row>
    <row r="268" spans="1:2" ht="14.25">
      <c r="A268" s="66"/>
      <c r="B268" s="67"/>
    </row>
    <row r="269" spans="1:2" ht="14.25">
      <c r="A269" s="66"/>
      <c r="B269" s="67"/>
    </row>
    <row r="270" spans="1:2" ht="14.25">
      <c r="A270" s="66"/>
      <c r="B270" s="67"/>
    </row>
    <row r="271" spans="1:2" ht="14.25">
      <c r="A271" s="66"/>
      <c r="B271" s="67"/>
    </row>
    <row r="272" spans="1:2" ht="14.25">
      <c r="A272" s="66"/>
      <c r="B272" s="67"/>
    </row>
    <row r="273" spans="1:2" ht="14.25">
      <c r="A273" s="66"/>
      <c r="B273" s="67"/>
    </row>
    <row r="274" spans="1:2" ht="14.25">
      <c r="A274" s="66"/>
      <c r="B274" s="67"/>
    </row>
    <row r="275" spans="1:2" ht="14.25">
      <c r="A275" s="66"/>
      <c r="B275" s="67"/>
    </row>
    <row r="276" spans="1:2" ht="14.25">
      <c r="A276" s="66"/>
      <c r="B276" s="67"/>
    </row>
    <row r="277" spans="1:2" ht="14.25">
      <c r="A277" s="66"/>
      <c r="B277" s="67"/>
    </row>
    <row r="278" spans="1:2" ht="14.25">
      <c r="A278" s="66"/>
      <c r="B278" s="67"/>
    </row>
    <row r="279" spans="1:2" ht="14.25">
      <c r="A279" s="66"/>
      <c r="B279" s="67"/>
    </row>
    <row r="280" spans="1:2" ht="14.25">
      <c r="A280" s="66"/>
      <c r="B280" s="67"/>
    </row>
    <row r="281" spans="1:2" ht="14.25">
      <c r="A281" s="66"/>
      <c r="B281" s="67"/>
    </row>
    <row r="282" spans="1:2" ht="14.25">
      <c r="A282" s="66"/>
      <c r="B282" s="67"/>
    </row>
    <row r="283" spans="1:2" ht="14.25">
      <c r="A283" s="66"/>
      <c r="B283" s="67"/>
    </row>
    <row r="284" spans="1:2" ht="14.25">
      <c r="A284" s="66"/>
      <c r="B284" s="67"/>
    </row>
    <row r="285" spans="1:2" ht="14.25">
      <c r="A285" s="66"/>
      <c r="B285" s="67"/>
    </row>
    <row r="286" spans="1:2" ht="14.25">
      <c r="A286" s="66"/>
      <c r="B286" s="67"/>
    </row>
    <row r="287" spans="1:2" ht="14.25">
      <c r="A287" s="66"/>
      <c r="B287" s="67"/>
    </row>
    <row r="288" spans="1:2" ht="14.25">
      <c r="A288" s="66"/>
      <c r="B288" s="67"/>
    </row>
    <row r="289" spans="1:2" ht="14.25">
      <c r="A289" s="66"/>
      <c r="B289" s="67"/>
    </row>
    <row r="290" spans="1:2" ht="14.25">
      <c r="A290" s="66"/>
      <c r="B290" s="67"/>
    </row>
    <row r="291" spans="1:2" ht="14.25">
      <c r="A291" s="66"/>
      <c r="B291" s="67"/>
    </row>
    <row r="292" spans="1:2" ht="14.25">
      <c r="A292" s="66"/>
      <c r="B292" s="67"/>
    </row>
    <row r="293" spans="1:2" ht="14.25">
      <c r="A293" s="66"/>
      <c r="B293" s="67"/>
    </row>
    <row r="294" spans="1:2" ht="14.25">
      <c r="A294" s="66"/>
      <c r="B294" s="67"/>
    </row>
    <row r="295" spans="1:2" ht="14.25">
      <c r="A295" s="66"/>
      <c r="B295" s="67"/>
    </row>
    <row r="296" spans="1:2" ht="14.25">
      <c r="A296" s="66"/>
      <c r="B296" s="67"/>
    </row>
    <row r="297" spans="1:2" ht="14.25">
      <c r="A297" s="66"/>
      <c r="B297" s="67"/>
    </row>
    <row r="298" spans="1:2" ht="14.25">
      <c r="A298" s="66"/>
      <c r="B298" s="67"/>
    </row>
    <row r="299" spans="1:2" ht="14.25">
      <c r="A299" s="66"/>
      <c r="B299" s="67"/>
    </row>
    <row r="300" spans="1:2" ht="14.25">
      <c r="A300" s="66"/>
      <c r="B300" s="67"/>
    </row>
    <row r="301" spans="1:2" ht="14.25">
      <c r="A301" s="66"/>
      <c r="B301" s="67"/>
    </row>
    <row r="302" spans="1:2" ht="14.25">
      <c r="A302" s="66"/>
      <c r="B302" s="67"/>
    </row>
    <row r="303" spans="1:2" ht="14.25">
      <c r="A303" s="66"/>
      <c r="B303" s="67"/>
    </row>
    <row r="304" spans="1:2" ht="14.25">
      <c r="A304" s="66"/>
      <c r="B304" s="67"/>
    </row>
    <row r="305" spans="1:2" ht="14.25">
      <c r="A305" s="66"/>
      <c r="B305" s="67"/>
    </row>
    <row r="306" spans="1:2" ht="14.25">
      <c r="A306" s="66"/>
      <c r="B306" s="67"/>
    </row>
    <row r="307" spans="1:2" ht="14.25">
      <c r="A307" s="66"/>
      <c r="B307" s="67"/>
    </row>
    <row r="308" spans="1:2" ht="14.25">
      <c r="A308" s="66"/>
      <c r="B308" s="67"/>
    </row>
    <row r="309" spans="1:2" ht="14.25">
      <c r="A309" s="66"/>
      <c r="B309" s="67"/>
    </row>
    <row r="310" spans="1:2" ht="14.25">
      <c r="A310" s="66"/>
      <c r="B310" s="67"/>
    </row>
    <row r="311" spans="1:2" ht="14.25">
      <c r="A311" s="66"/>
      <c r="B311" s="67"/>
    </row>
    <row r="312" spans="1:2" ht="14.25">
      <c r="A312" s="66"/>
      <c r="B312" s="67"/>
    </row>
    <row r="313" spans="1:2" ht="14.25">
      <c r="A313" s="66"/>
      <c r="B313" s="67"/>
    </row>
    <row r="314" spans="1:2" ht="14.25">
      <c r="A314" s="66"/>
      <c r="B314" s="67"/>
    </row>
    <row r="315" spans="1:2" ht="14.25">
      <c r="A315" s="66"/>
      <c r="B315" s="67"/>
    </row>
    <row r="316" spans="1:2" ht="14.25">
      <c r="A316" s="66"/>
      <c r="B316" s="67"/>
    </row>
    <row r="317" spans="1:2" ht="14.25">
      <c r="A317" s="66"/>
      <c r="B317" s="67"/>
    </row>
    <row r="318" spans="1:2" ht="14.25">
      <c r="A318" s="66"/>
      <c r="B318" s="67"/>
    </row>
    <row r="319" spans="1:2" ht="14.25">
      <c r="A319" s="66"/>
      <c r="B319" s="67"/>
    </row>
    <row r="320" spans="1:2" ht="14.25">
      <c r="A320" s="66"/>
      <c r="B320" s="67"/>
    </row>
    <row r="321" spans="1:2" ht="14.25">
      <c r="A321" s="66"/>
      <c r="B321" s="67"/>
    </row>
    <row r="322" spans="1:2" ht="14.25">
      <c r="A322" s="66"/>
      <c r="B322" s="67"/>
    </row>
    <row r="323" spans="1:2" ht="14.25">
      <c r="A323" s="66"/>
      <c r="B323" s="67"/>
    </row>
    <row r="324" spans="1:2" ht="14.25">
      <c r="A324" s="66"/>
      <c r="B324" s="67"/>
    </row>
    <row r="325" spans="1:2" ht="14.25">
      <c r="A325" s="66"/>
      <c r="B325" s="67"/>
    </row>
    <row r="326" spans="1:2" ht="14.25">
      <c r="A326" s="66"/>
      <c r="B326" s="67"/>
    </row>
    <row r="327" spans="1:2" ht="14.25">
      <c r="A327" s="66"/>
      <c r="B327" s="67"/>
    </row>
    <row r="328" spans="1:2" ht="14.25">
      <c r="A328" s="66"/>
      <c r="B328" s="67"/>
    </row>
    <row r="329" spans="1:2" ht="14.25">
      <c r="A329" s="66"/>
      <c r="B329" s="67"/>
    </row>
    <row r="330" spans="1:2" ht="14.25">
      <c r="A330" s="66"/>
      <c r="B330" s="67"/>
    </row>
    <row r="331" spans="1:2" ht="14.25">
      <c r="A331" s="66"/>
      <c r="B331" s="67"/>
    </row>
    <row r="332" spans="1:2" ht="14.25">
      <c r="A332" s="66"/>
      <c r="B332" s="67"/>
    </row>
    <row r="333" spans="1:2" ht="14.25">
      <c r="A333" s="66"/>
      <c r="B333" s="67"/>
    </row>
    <row r="334" spans="1:2" ht="14.25">
      <c r="A334" s="66"/>
      <c r="B334" s="67"/>
    </row>
    <row r="335" spans="1:2" ht="14.25">
      <c r="A335" s="66"/>
      <c r="B335" s="67"/>
    </row>
    <row r="336" spans="1:2" ht="14.25">
      <c r="A336" s="66"/>
      <c r="B336" s="67"/>
    </row>
    <row r="337" spans="1:2" ht="14.25">
      <c r="A337" s="66"/>
      <c r="B337" s="67"/>
    </row>
    <row r="338" spans="1:2" ht="14.25">
      <c r="A338" s="66"/>
      <c r="B338" s="67"/>
    </row>
    <row r="339" spans="1:2" ht="14.25">
      <c r="A339" s="66"/>
      <c r="B339" s="67"/>
    </row>
    <row r="340" spans="1:2" ht="14.25">
      <c r="A340" s="66"/>
      <c r="B340" s="67"/>
    </row>
    <row r="341" spans="1:2" ht="14.25">
      <c r="A341" s="66"/>
      <c r="B341" s="67"/>
    </row>
    <row r="342" spans="1:2" ht="14.25">
      <c r="A342" s="66"/>
      <c r="B342" s="67"/>
    </row>
    <row r="343" spans="1:2" ht="14.25">
      <c r="A343" s="66"/>
      <c r="B343" s="67"/>
    </row>
    <row r="344" spans="1:2" ht="14.25">
      <c r="A344" s="66"/>
      <c r="B344" s="67"/>
    </row>
    <row r="345" spans="1:2" ht="14.25">
      <c r="A345" s="66"/>
      <c r="B345" s="67"/>
    </row>
    <row r="346" spans="1:2" ht="14.25">
      <c r="A346" s="66"/>
      <c r="B346" s="67"/>
    </row>
    <row r="347" spans="1:2" ht="14.25">
      <c r="A347" s="66"/>
      <c r="B347" s="67"/>
    </row>
    <row r="348" spans="1:2" ht="14.25">
      <c r="A348" s="66"/>
      <c r="B348" s="67"/>
    </row>
    <row r="349" spans="1:2" ht="14.25">
      <c r="A349" s="66"/>
      <c r="B349" s="67"/>
    </row>
    <row r="350" spans="1:2" ht="14.25">
      <c r="A350" s="66"/>
      <c r="B350" s="67"/>
    </row>
    <row r="351" spans="1:2" ht="14.25">
      <c r="A351" s="66"/>
      <c r="B351" s="67"/>
    </row>
    <row r="352" spans="1:2" ht="14.25">
      <c r="A352" s="66"/>
      <c r="B352" s="67"/>
    </row>
    <row r="353" spans="1:2" ht="14.25">
      <c r="A353" s="66"/>
      <c r="B353" s="67"/>
    </row>
    <row r="354" spans="1:2" ht="14.25">
      <c r="A354" s="66"/>
      <c r="B354" s="67"/>
    </row>
    <row r="355" spans="1:2" ht="14.25">
      <c r="A355" s="66"/>
      <c r="B355" s="67"/>
    </row>
    <row r="356" spans="1:2" ht="14.25">
      <c r="A356" s="66"/>
      <c r="B356" s="67"/>
    </row>
    <row r="357" spans="1:2" ht="14.25">
      <c r="A357" s="66"/>
      <c r="B357" s="67"/>
    </row>
    <row r="358" spans="1:2" ht="14.25">
      <c r="A358" s="66"/>
      <c r="B358" s="67"/>
    </row>
    <row r="359" spans="1:2" ht="14.25">
      <c r="A359" s="66"/>
      <c r="B359" s="67"/>
    </row>
    <row r="360" spans="1:2" ht="14.25">
      <c r="A360" s="66"/>
      <c r="B360" s="67"/>
    </row>
    <row r="361" spans="1:2" ht="14.25">
      <c r="A361" s="66"/>
      <c r="B361" s="67"/>
    </row>
    <row r="362" spans="1:2" ht="14.25">
      <c r="A362" s="66"/>
      <c r="B362" s="67"/>
    </row>
    <row r="363" spans="1:2" ht="14.25">
      <c r="A363" s="66"/>
      <c r="B363" s="67"/>
    </row>
    <row r="364" spans="1:2" ht="14.25">
      <c r="A364" s="66"/>
      <c r="B364" s="67"/>
    </row>
    <row r="365" spans="1:2" ht="14.25">
      <c r="A365" s="66"/>
      <c r="B365" s="67"/>
    </row>
    <row r="366" spans="1:2" ht="14.25">
      <c r="A366" s="66"/>
      <c r="B366" s="67"/>
    </row>
    <row r="367" spans="1:2" ht="14.25">
      <c r="A367" s="66"/>
      <c r="B367" s="67"/>
    </row>
    <row r="368" spans="1:2" ht="14.25">
      <c r="A368" s="66"/>
      <c r="B368" s="67"/>
    </row>
    <row r="369" spans="1:2" ht="14.25">
      <c r="A369" s="66"/>
      <c r="B369" s="67"/>
    </row>
    <row r="370" spans="1:2" ht="14.25">
      <c r="A370" s="66"/>
      <c r="B370" s="67"/>
    </row>
    <row r="371" spans="1:2" ht="14.25">
      <c r="A371" s="66"/>
      <c r="B371" s="67"/>
    </row>
    <row r="372" spans="1:2" ht="14.25">
      <c r="A372" s="66"/>
      <c r="B372" s="67"/>
    </row>
    <row r="373" spans="1:2" ht="14.25">
      <c r="A373" s="66"/>
      <c r="B373" s="67"/>
    </row>
    <row r="374" spans="1:2" ht="14.25">
      <c r="A374" s="66"/>
      <c r="B374" s="67"/>
    </row>
    <row r="375" spans="1:2" ht="14.25">
      <c r="A375" s="66"/>
      <c r="B375" s="67"/>
    </row>
    <row r="376" spans="1:2" ht="14.25">
      <c r="A376" s="66"/>
      <c r="B376" s="67"/>
    </row>
    <row r="377" spans="1:2" ht="14.25">
      <c r="A377" s="66"/>
      <c r="B377" s="67"/>
    </row>
    <row r="378" spans="1:2" ht="14.25">
      <c r="A378" s="66"/>
      <c r="B378" s="67"/>
    </row>
    <row r="379" spans="1:2" ht="14.25">
      <c r="A379" s="66"/>
      <c r="B379" s="67"/>
    </row>
    <row r="380" spans="1:2" ht="14.25">
      <c r="A380" s="66"/>
      <c r="B380" s="67"/>
    </row>
    <row r="381" spans="1:2" ht="14.25">
      <c r="A381" s="66"/>
      <c r="B381" s="67"/>
    </row>
    <row r="382" spans="1:2" ht="14.25">
      <c r="A382" s="66"/>
      <c r="B382" s="67"/>
    </row>
    <row r="383" spans="1:2" ht="14.25">
      <c r="A383" s="66"/>
      <c r="B383" s="67"/>
    </row>
    <row r="384" spans="1:2" ht="14.25">
      <c r="A384" s="66"/>
      <c r="B384" s="67"/>
    </row>
    <row r="385" spans="1:2" ht="14.25">
      <c r="A385" s="66"/>
      <c r="B385" s="67"/>
    </row>
    <row r="386" spans="1:2" ht="14.25">
      <c r="A386" s="66"/>
      <c r="B386" s="67"/>
    </row>
    <row r="387" spans="1:2" ht="14.25">
      <c r="A387" s="66"/>
      <c r="B387" s="67"/>
    </row>
    <row r="388" spans="1:2" ht="14.25">
      <c r="A388" s="66"/>
      <c r="B388" s="67"/>
    </row>
    <row r="389" spans="1:2" ht="14.25">
      <c r="A389" s="66"/>
      <c r="B389" s="67"/>
    </row>
    <row r="390" spans="1:2" ht="14.25">
      <c r="A390" s="66"/>
      <c r="B390" s="67"/>
    </row>
    <row r="391" spans="1:2" ht="14.25">
      <c r="A391" s="66"/>
      <c r="B391" s="67"/>
    </row>
    <row r="392" spans="1:2" ht="14.25">
      <c r="A392" s="66"/>
      <c r="B392" s="67"/>
    </row>
    <row r="393" spans="1:2" ht="14.25">
      <c r="A393" s="66"/>
      <c r="B393" s="67"/>
    </row>
    <row r="394" spans="1:2" ht="14.25">
      <c r="A394" s="66"/>
      <c r="B394" s="67"/>
    </row>
    <row r="395" spans="1:2" ht="14.25">
      <c r="A395" s="66"/>
      <c r="B395" s="67"/>
    </row>
    <row r="396" spans="1:2" ht="14.25">
      <c r="A396" s="66"/>
      <c r="B396" s="67"/>
    </row>
    <row r="397" spans="1:2" ht="14.25">
      <c r="A397" s="66"/>
      <c r="B397" s="67"/>
    </row>
    <row r="398" spans="1:2" ht="14.25">
      <c r="A398" s="66"/>
      <c r="B398" s="67"/>
    </row>
    <row r="399" spans="1:2" ht="14.25">
      <c r="A399" s="66"/>
      <c r="B399" s="67"/>
    </row>
    <row r="400" spans="1:2" ht="14.25">
      <c r="A400" s="66"/>
      <c r="B400" s="67"/>
    </row>
    <row r="401" spans="1:2" ht="14.25">
      <c r="A401" s="66"/>
      <c r="B401" s="67"/>
    </row>
    <row r="402" spans="1:2" ht="14.25">
      <c r="A402" s="66"/>
      <c r="B402" s="67"/>
    </row>
    <row r="403" spans="1:2" ht="14.25">
      <c r="A403" s="66"/>
      <c r="B403" s="67"/>
    </row>
    <row r="404" spans="1:2" ht="14.25">
      <c r="A404" s="66"/>
      <c r="B404" s="67"/>
    </row>
    <row r="405" spans="1:2" ht="14.25">
      <c r="A405" s="66"/>
      <c r="B405" s="67"/>
    </row>
    <row r="406" spans="1:2" ht="14.25">
      <c r="A406" s="66"/>
      <c r="B406" s="67"/>
    </row>
    <row r="407" spans="1:2" ht="14.25">
      <c r="A407" s="66"/>
      <c r="B407" s="67"/>
    </row>
    <row r="408" spans="1:2" ht="14.25">
      <c r="A408" s="66"/>
      <c r="B408" s="67"/>
    </row>
    <row r="409" spans="1:2" ht="14.25">
      <c r="A409" s="66"/>
      <c r="B409" s="67"/>
    </row>
    <row r="410" spans="1:2" ht="14.25">
      <c r="A410" s="66"/>
      <c r="B410" s="67"/>
    </row>
    <row r="411" spans="1:2" ht="14.25">
      <c r="A411" s="66"/>
      <c r="B411" s="67"/>
    </row>
    <row r="412" spans="1:2" ht="14.25">
      <c r="A412" s="66"/>
      <c r="B412" s="67"/>
    </row>
    <row r="413" spans="1:2" ht="14.25">
      <c r="A413" s="66"/>
      <c r="B413" s="67"/>
    </row>
    <row r="414" spans="1:2" ht="14.25">
      <c r="A414" s="66"/>
      <c r="B414" s="67"/>
    </row>
    <row r="415" spans="1:2" ht="14.25">
      <c r="A415" s="66"/>
      <c r="B415" s="67"/>
    </row>
    <row r="416" spans="1:2" ht="14.25">
      <c r="A416" s="66"/>
      <c r="B416" s="67"/>
    </row>
    <row r="417" spans="1:2" ht="14.25">
      <c r="A417" s="66"/>
      <c r="B417" s="67"/>
    </row>
    <row r="418" spans="1:2" ht="14.25">
      <c r="A418" s="66"/>
      <c r="B418" s="67"/>
    </row>
    <row r="419" spans="1:2" ht="14.25">
      <c r="A419" s="66"/>
      <c r="B419" s="67"/>
    </row>
    <row r="420" spans="1:2" ht="14.25">
      <c r="A420" s="66"/>
      <c r="B420" s="67"/>
    </row>
    <row r="421" spans="1:2" ht="14.25">
      <c r="A421" s="66"/>
      <c r="B421" s="67"/>
    </row>
    <row r="422" spans="1:2" ht="14.25">
      <c r="A422" s="66"/>
      <c r="B422" s="67"/>
    </row>
    <row r="423" spans="1:2" ht="14.25">
      <c r="A423" s="66"/>
      <c r="B423" s="67"/>
    </row>
    <row r="424" spans="1:2" ht="14.25">
      <c r="A424" s="66"/>
      <c r="B424" s="67"/>
    </row>
    <row r="425" spans="1:2" ht="14.25">
      <c r="A425" s="66"/>
      <c r="B425" s="67"/>
    </row>
    <row r="426" spans="1:2" ht="14.25">
      <c r="A426" s="66"/>
      <c r="B426" s="67"/>
    </row>
    <row r="427" spans="1:2" ht="14.25">
      <c r="A427" s="66"/>
      <c r="B427" s="67"/>
    </row>
    <row r="428" spans="1:2" ht="14.25">
      <c r="A428" s="66"/>
      <c r="B428" s="67"/>
    </row>
    <row r="429" spans="1:2" ht="14.25">
      <c r="A429" s="66"/>
      <c r="B429" s="67"/>
    </row>
    <row r="430" spans="1:2" ht="14.25">
      <c r="A430" s="66"/>
      <c r="B430" s="67"/>
    </row>
    <row r="431" spans="1:2" ht="14.25">
      <c r="A431" s="66"/>
      <c r="B431" s="67"/>
    </row>
    <row r="432" spans="1:2" ht="14.25">
      <c r="A432" s="66"/>
      <c r="B432" s="67"/>
    </row>
    <row r="433" spans="1:2" ht="14.25">
      <c r="A433" s="66"/>
      <c r="B433" s="67"/>
    </row>
    <row r="434" spans="1:2" ht="14.25">
      <c r="A434" s="66"/>
      <c r="B434" s="67"/>
    </row>
    <row r="435" spans="1:2" ht="14.25">
      <c r="A435" s="66"/>
      <c r="B435" s="67"/>
    </row>
    <row r="436" spans="1:2" ht="14.25">
      <c r="A436" s="66"/>
      <c r="B436" s="67"/>
    </row>
    <row r="437" spans="1:2" ht="14.25">
      <c r="A437" s="66"/>
      <c r="B437" s="67"/>
    </row>
    <row r="438" spans="1:2" ht="14.25">
      <c r="A438" s="66"/>
      <c r="B438" s="67"/>
    </row>
    <row r="439" spans="1:2" ht="14.25">
      <c r="A439" s="66"/>
      <c r="B439" s="67"/>
    </row>
    <row r="440" spans="1:2" ht="14.25">
      <c r="A440" s="66"/>
      <c r="B440" s="67"/>
    </row>
    <row r="441" spans="1:2" ht="14.25">
      <c r="A441" s="66"/>
      <c r="B441" s="67"/>
    </row>
    <row r="442" spans="1:2" ht="14.25">
      <c r="A442" s="66"/>
      <c r="B442" s="67"/>
    </row>
    <row r="443" spans="1:2" ht="14.25">
      <c r="A443" s="66"/>
      <c r="B443" s="67"/>
    </row>
    <row r="444" spans="1:2" ht="14.25">
      <c r="A444" s="66"/>
      <c r="B444" s="67"/>
    </row>
    <row r="445" spans="1:2" ht="14.25">
      <c r="A445" s="66"/>
      <c r="B445" s="67"/>
    </row>
    <row r="446" spans="1:2" ht="14.25">
      <c r="A446" s="66"/>
      <c r="B446" s="67"/>
    </row>
    <row r="447" spans="1:2" ht="14.25">
      <c r="A447" s="66"/>
      <c r="B447" s="67"/>
    </row>
    <row r="448" spans="1:2" ht="14.25">
      <c r="A448" s="66"/>
      <c r="B448" s="67"/>
    </row>
    <row r="449" spans="1:2" ht="14.25">
      <c r="A449" s="66"/>
      <c r="B449" s="67"/>
    </row>
    <row r="450" spans="1:2" ht="14.25">
      <c r="A450" s="66"/>
      <c r="B450" s="67"/>
    </row>
    <row r="451" spans="1:2" ht="14.25">
      <c r="A451" s="66"/>
      <c r="B451" s="67"/>
    </row>
    <row r="452" spans="1:2" ht="14.25">
      <c r="A452" s="66"/>
      <c r="B452" s="67"/>
    </row>
    <row r="453" spans="1:2" ht="14.25">
      <c r="A453" s="66"/>
      <c r="B453" s="67"/>
    </row>
    <row r="454" spans="1:2" ht="14.25">
      <c r="A454" s="66"/>
      <c r="B454" s="67"/>
    </row>
    <row r="455" spans="1:2" ht="14.25">
      <c r="A455" s="66"/>
      <c r="B455" s="67"/>
    </row>
    <row r="456" spans="1:2" ht="14.25">
      <c r="A456" s="66"/>
      <c r="B456" s="67"/>
    </row>
    <row r="457" spans="1:2" ht="14.25">
      <c r="A457" s="66"/>
      <c r="B457" s="67"/>
    </row>
    <row r="458" spans="1:2" ht="14.25">
      <c r="A458" s="66"/>
      <c r="B458" s="67"/>
    </row>
    <row r="459" spans="1:2" ht="14.25">
      <c r="A459" s="66"/>
      <c r="B459" s="67"/>
    </row>
    <row r="460" spans="1:2" ht="14.25">
      <c r="A460" s="66"/>
      <c r="B460" s="67"/>
    </row>
    <row r="461" spans="1:2" ht="14.25">
      <c r="A461" s="66"/>
      <c r="B461" s="67"/>
    </row>
    <row r="462" spans="1:2" ht="14.25">
      <c r="A462" s="66"/>
      <c r="B462" s="67"/>
    </row>
    <row r="463" spans="1:2" ht="14.25">
      <c r="A463" s="66"/>
      <c r="B463" s="67"/>
    </row>
    <row r="464" spans="1:2" ht="14.25">
      <c r="A464" s="66"/>
      <c r="B464" s="67"/>
    </row>
    <row r="465" spans="1:2" ht="14.25">
      <c r="A465" s="66"/>
      <c r="B465" s="67"/>
    </row>
    <row r="466" spans="1:2" ht="14.25">
      <c r="A466" s="66"/>
      <c r="B466" s="67"/>
    </row>
    <row r="467" spans="1:2" ht="14.25">
      <c r="A467" s="66"/>
      <c r="B467" s="67"/>
    </row>
    <row r="468" spans="1:2" ht="14.25">
      <c r="A468" s="66"/>
      <c r="B468" s="67"/>
    </row>
    <row r="469" spans="1:2" ht="14.25">
      <c r="A469" s="66"/>
      <c r="B469" s="67"/>
    </row>
    <row r="470" spans="1:2" ht="14.25">
      <c r="A470" s="66"/>
      <c r="B470" s="67"/>
    </row>
    <row r="471" spans="1:2" ht="14.25">
      <c r="A471" s="66"/>
      <c r="B471" s="67"/>
    </row>
    <row r="472" spans="1:2" ht="14.25">
      <c r="A472" s="66"/>
      <c r="B472" s="67"/>
    </row>
    <row r="473" spans="1:2" ht="14.25">
      <c r="A473" s="66"/>
      <c r="B473" s="67"/>
    </row>
    <row r="474" spans="1:2" ht="14.25">
      <c r="A474" s="66"/>
      <c r="B474" s="67"/>
    </row>
    <row r="475" spans="1:2" ht="14.25">
      <c r="A475" s="66"/>
      <c r="B475" s="67"/>
    </row>
    <row r="476" spans="1:2" ht="14.25">
      <c r="A476" s="66"/>
      <c r="B476" s="67"/>
    </row>
    <row r="477" spans="1:2" ht="14.25">
      <c r="A477" s="66"/>
      <c r="B477" s="67"/>
    </row>
    <row r="478" spans="1:2" ht="14.25">
      <c r="A478" s="66"/>
      <c r="B478" s="67"/>
    </row>
    <row r="479" spans="1:2" ht="14.25">
      <c r="A479" s="66"/>
      <c r="B479" s="67"/>
    </row>
    <row r="480" spans="1:2" ht="14.25">
      <c r="A480" s="66"/>
      <c r="B480" s="67"/>
    </row>
    <row r="481" spans="1:2" ht="14.25">
      <c r="A481" s="66"/>
      <c r="B481" s="67"/>
    </row>
    <row r="482" spans="1:2" ht="14.25">
      <c r="A482" s="66"/>
      <c r="B482" s="67"/>
    </row>
    <row r="483" spans="1:2" ht="14.25">
      <c r="A483" s="66"/>
      <c r="B483" s="67"/>
    </row>
    <row r="484" spans="1:2" ht="14.25">
      <c r="A484" s="66"/>
      <c r="B484" s="67"/>
    </row>
    <row r="485" spans="1:2" ht="14.25">
      <c r="A485" s="66"/>
      <c r="B485" s="67"/>
    </row>
    <row r="486" spans="1:2" ht="14.25">
      <c r="A486" s="66"/>
      <c r="B486" s="67"/>
    </row>
    <row r="487" spans="1:2" ht="14.25">
      <c r="A487" s="66"/>
      <c r="B487" s="67"/>
    </row>
    <row r="488" spans="1:2" ht="14.25">
      <c r="A488" s="66"/>
      <c r="B488" s="67"/>
    </row>
    <row r="489" spans="1:2" ht="14.25">
      <c r="A489" s="66"/>
      <c r="B489" s="67"/>
    </row>
    <row r="490" spans="1:2" ht="14.25">
      <c r="A490" s="66"/>
      <c r="B490" s="67"/>
    </row>
    <row r="491" spans="1:2" ht="14.25">
      <c r="A491" s="66"/>
      <c r="B491" s="67"/>
    </row>
    <row r="492" spans="1:2" ht="14.25">
      <c r="A492" s="66"/>
      <c r="B492" s="67"/>
    </row>
    <row r="493" spans="1:2" ht="14.25">
      <c r="A493" s="66"/>
      <c r="B493" s="67"/>
    </row>
    <row r="494" spans="1:2" ht="14.25">
      <c r="A494" s="66"/>
      <c r="B494" s="67"/>
    </row>
    <row r="495" spans="1:2" ht="14.25">
      <c r="A495" s="66"/>
      <c r="B495" s="67"/>
    </row>
    <row r="496" spans="1:2" ht="14.25">
      <c r="A496" s="66"/>
      <c r="B496" s="67"/>
    </row>
    <row r="497" spans="1:2" ht="14.25">
      <c r="A497" s="66"/>
      <c r="B497" s="67"/>
    </row>
    <row r="498" spans="1:2" ht="14.25">
      <c r="A498" s="66"/>
      <c r="B498" s="67"/>
    </row>
    <row r="499" spans="1:2" ht="14.25">
      <c r="A499" s="66"/>
      <c r="B499" s="67"/>
    </row>
    <row r="500" spans="1:2" ht="14.25">
      <c r="A500" s="66"/>
      <c r="B500" s="67"/>
    </row>
    <row r="501" spans="1:2" ht="14.25">
      <c r="A501" s="66"/>
      <c r="B501" s="67"/>
    </row>
    <row r="502" spans="1:2" ht="14.25">
      <c r="A502" s="66"/>
      <c r="B502" s="67"/>
    </row>
    <row r="503" spans="1:2" ht="14.25">
      <c r="A503" s="66"/>
      <c r="B503" s="67"/>
    </row>
    <row r="504" spans="1:2" ht="14.25">
      <c r="A504" s="66"/>
      <c r="B504" s="67"/>
    </row>
    <row r="505" spans="1:2" ht="14.25">
      <c r="A505" s="66"/>
      <c r="B505" s="67"/>
    </row>
    <row r="506" spans="1:2" ht="14.25">
      <c r="A506" s="66"/>
      <c r="B506" s="67"/>
    </row>
    <row r="507" spans="1:2" ht="14.25">
      <c r="A507" s="66"/>
      <c r="B507" s="67"/>
    </row>
    <row r="508" spans="1:2" ht="14.25">
      <c r="A508" s="66"/>
      <c r="B508" s="67"/>
    </row>
    <row r="509" spans="1:2" ht="14.25">
      <c r="A509" s="66"/>
      <c r="B509" s="67"/>
    </row>
    <row r="510" spans="1:2" ht="14.25">
      <c r="A510" s="66"/>
      <c r="B510" s="67"/>
    </row>
    <row r="511" spans="1:2" ht="14.25">
      <c r="A511" s="66"/>
      <c r="B511" s="67"/>
    </row>
    <row r="512" spans="1:2" ht="14.25">
      <c r="A512" s="66"/>
      <c r="B512" s="67"/>
    </row>
    <row r="513" spans="1:2" ht="14.25">
      <c r="A513" s="66"/>
      <c r="B513" s="67"/>
    </row>
    <row r="514" spans="1:2" ht="14.25">
      <c r="A514" s="66"/>
      <c r="B514" s="67"/>
    </row>
    <row r="515" spans="1:2" ht="14.25">
      <c r="A515" s="66"/>
      <c r="B515" s="67"/>
    </row>
    <row r="516" spans="1:2" ht="14.25">
      <c r="A516" s="66"/>
      <c r="B516" s="67"/>
    </row>
    <row r="517" spans="1:2" ht="14.25">
      <c r="A517" s="66"/>
      <c r="B517" s="67"/>
    </row>
    <row r="518" spans="1:2" ht="14.25">
      <c r="A518" s="66"/>
      <c r="B518" s="67"/>
    </row>
    <row r="519" spans="1:2" ht="14.25">
      <c r="A519" s="66"/>
      <c r="B519" s="67"/>
    </row>
    <row r="520" spans="1:2" ht="14.25">
      <c r="A520" s="66"/>
      <c r="B520" s="67"/>
    </row>
    <row r="521" spans="1:2" ht="14.25">
      <c r="A521" s="66"/>
      <c r="B521" s="67"/>
    </row>
    <row r="522" spans="1:2" ht="14.25">
      <c r="A522" s="66"/>
      <c r="B522" s="67"/>
    </row>
    <row r="523" spans="1:2" ht="14.25">
      <c r="A523" s="66"/>
      <c r="B523" s="67"/>
    </row>
    <row r="524" spans="1:2" ht="14.25">
      <c r="A524" s="66"/>
      <c r="B524" s="67"/>
    </row>
    <row r="525" spans="1:2" ht="14.25">
      <c r="A525" s="66"/>
      <c r="B525" s="67"/>
    </row>
    <row r="526" spans="1:2" ht="14.25">
      <c r="A526" s="66"/>
      <c r="B526" s="67"/>
    </row>
    <row r="527" spans="1:2" ht="14.25">
      <c r="A527" s="66"/>
      <c r="B527" s="67"/>
    </row>
    <row r="528" spans="1:2" ht="14.25">
      <c r="A528" s="66"/>
      <c r="B528" s="67"/>
    </row>
    <row r="529" spans="1:2" ht="14.25">
      <c r="A529" s="66"/>
      <c r="B529" s="67"/>
    </row>
    <row r="530" spans="1:2" ht="14.25">
      <c r="A530" s="66"/>
      <c r="B530" s="67"/>
    </row>
    <row r="531" spans="1:2" ht="14.25">
      <c r="A531" s="66"/>
      <c r="B531" s="67"/>
    </row>
    <row r="532" spans="1:2" ht="14.25">
      <c r="A532" s="66"/>
      <c r="B532" s="67"/>
    </row>
    <row r="533" spans="1:2" ht="14.25">
      <c r="A533" s="66"/>
      <c r="B533" s="67"/>
    </row>
    <row r="534" spans="1:2" ht="14.25">
      <c r="A534" s="66"/>
      <c r="B534" s="67"/>
    </row>
    <row r="535" spans="1:2" ht="14.25">
      <c r="A535" s="66"/>
      <c r="B535" s="67"/>
    </row>
    <row r="536" spans="1:2" ht="14.25">
      <c r="A536" s="66"/>
      <c r="B536" s="67"/>
    </row>
    <row r="537" spans="1:2" ht="14.25">
      <c r="A537" s="66"/>
      <c r="B537" s="67"/>
    </row>
    <row r="538" spans="1:2" ht="14.25">
      <c r="A538" s="66"/>
      <c r="B538" s="67"/>
    </row>
    <row r="539" spans="1:2" ht="14.25">
      <c r="A539" s="66"/>
      <c r="B539" s="67"/>
    </row>
    <row r="540" spans="1:2" ht="14.25">
      <c r="A540" s="66"/>
      <c r="B540" s="67"/>
    </row>
    <row r="541" spans="1:2" ht="14.25">
      <c r="A541" s="66"/>
      <c r="B541" s="67"/>
    </row>
    <row r="542" spans="1:2" ht="14.25">
      <c r="A542" s="66"/>
      <c r="B542" s="67"/>
    </row>
    <row r="543" spans="1:2" ht="14.25">
      <c r="A543" s="66"/>
      <c r="B543" s="67"/>
    </row>
    <row r="544" spans="1:2" ht="14.25">
      <c r="A544" s="66"/>
      <c r="B544" s="67"/>
    </row>
    <row r="545" spans="1:2" ht="14.25">
      <c r="A545" s="66"/>
      <c r="B545" s="67"/>
    </row>
    <row r="546" spans="1:2" ht="14.25">
      <c r="A546" s="66"/>
      <c r="B546" s="67"/>
    </row>
    <row r="547" spans="1:2" ht="14.25">
      <c r="A547" s="66"/>
      <c r="B547" s="67"/>
    </row>
    <row r="548" spans="1:2" ht="14.25">
      <c r="A548" s="66"/>
      <c r="B548" s="67"/>
    </row>
    <row r="549" spans="1:2" ht="14.25">
      <c r="A549" s="66"/>
      <c r="B549" s="67"/>
    </row>
    <row r="550" spans="1:2" ht="14.25">
      <c r="A550" s="66"/>
      <c r="B550" s="67"/>
    </row>
    <row r="551" spans="1:2" ht="14.25">
      <c r="A551" s="66"/>
      <c r="B551" s="67"/>
    </row>
    <row r="552" spans="1:2" ht="14.25">
      <c r="A552" s="66"/>
      <c r="B552" s="67"/>
    </row>
    <row r="553" spans="1:2" ht="14.25">
      <c r="A553" s="66"/>
      <c r="B553" s="67"/>
    </row>
    <row r="554" spans="1:2" ht="14.25">
      <c r="A554" s="66"/>
      <c r="B554" s="67"/>
    </row>
    <row r="555" spans="1:2" ht="14.25">
      <c r="A555" s="66"/>
      <c r="B555" s="67"/>
    </row>
    <row r="556" spans="1:2" ht="14.25">
      <c r="A556" s="66"/>
      <c r="B556" s="67"/>
    </row>
    <row r="557" spans="1:2" ht="14.25">
      <c r="A557" s="66"/>
      <c r="B557" s="67"/>
    </row>
    <row r="558" spans="1:2" ht="14.25">
      <c r="A558" s="66"/>
      <c r="B558" s="67"/>
    </row>
    <row r="559" spans="1:2" ht="14.25">
      <c r="A559" s="66"/>
      <c r="B559" s="67"/>
    </row>
    <row r="560" spans="1:2" ht="14.25">
      <c r="A560" s="66"/>
      <c r="B560" s="67"/>
    </row>
    <row r="561" spans="1:2" ht="14.25">
      <c r="A561" s="66"/>
      <c r="B561" s="67"/>
    </row>
    <row r="562" spans="1:2" ht="14.25">
      <c r="A562" s="66"/>
      <c r="B562" s="67"/>
    </row>
    <row r="563" spans="1:2" ht="14.25">
      <c r="A563" s="66"/>
      <c r="B563" s="67"/>
    </row>
    <row r="564" spans="1:2" ht="14.25">
      <c r="A564" s="66"/>
      <c r="B564" s="67"/>
    </row>
    <row r="565" spans="1:2" ht="14.25">
      <c r="A565" s="66"/>
      <c r="B565" s="67"/>
    </row>
    <row r="566" spans="1:2" ht="14.25">
      <c r="A566" s="66"/>
      <c r="B566" s="67"/>
    </row>
    <row r="567" spans="1:2" ht="14.25">
      <c r="A567" s="66"/>
      <c r="B567" s="67"/>
    </row>
    <row r="568" spans="1:2" ht="14.25">
      <c r="A568" s="66"/>
      <c r="B568" s="67"/>
    </row>
    <row r="569" spans="1:2" ht="14.25">
      <c r="A569" s="66"/>
      <c r="B569" s="67"/>
    </row>
    <row r="570" spans="1:2" ht="14.25">
      <c r="A570" s="66"/>
      <c r="B570" s="67"/>
    </row>
    <row r="571" spans="1:2" ht="14.25">
      <c r="A571" s="66"/>
      <c r="B571" s="67"/>
    </row>
    <row r="572" spans="1:2" ht="14.25">
      <c r="A572" s="66"/>
      <c r="B572" s="67"/>
    </row>
    <row r="573" spans="1:2" ht="14.25">
      <c r="A573" s="66"/>
      <c r="B573" s="67"/>
    </row>
    <row r="574" spans="1:2" ht="14.25">
      <c r="A574" s="66"/>
      <c r="B574" s="67"/>
    </row>
    <row r="575" spans="1:2" ht="14.25">
      <c r="A575" s="66"/>
      <c r="B575" s="67"/>
    </row>
    <row r="576" spans="1:2" ht="14.25">
      <c r="A576" s="66"/>
      <c r="B576" s="67"/>
    </row>
    <row r="577" spans="1:2" ht="14.25">
      <c r="A577" s="66"/>
      <c r="B577" s="67"/>
    </row>
    <row r="578" spans="1:2" ht="14.25">
      <c r="A578" s="66"/>
      <c r="B578" s="67"/>
    </row>
    <row r="579" spans="1:2" ht="14.25">
      <c r="A579" s="66"/>
      <c r="B579" s="67"/>
    </row>
    <row r="580" spans="1:2" ht="14.25">
      <c r="A580" s="66"/>
      <c r="B580" s="67"/>
    </row>
    <row r="581" spans="1:2" ht="14.25">
      <c r="A581" s="66"/>
      <c r="B581" s="67"/>
    </row>
    <row r="582" spans="1:2" ht="14.25">
      <c r="A582" s="66"/>
      <c r="B582" s="67"/>
    </row>
    <row r="583" spans="1:2" ht="14.25">
      <c r="A583" s="66"/>
      <c r="B583" s="67"/>
    </row>
    <row r="584" spans="1:2" ht="14.25">
      <c r="A584" s="66"/>
      <c r="B584" s="67"/>
    </row>
    <row r="585" spans="1:2" ht="14.25">
      <c r="A585" s="66"/>
      <c r="B585" s="67"/>
    </row>
    <row r="586" spans="1:2" ht="14.25">
      <c r="A586" s="66"/>
      <c r="B586" s="67"/>
    </row>
    <row r="587" spans="1:2" ht="14.25">
      <c r="A587" s="66"/>
      <c r="B587" s="67"/>
    </row>
    <row r="588" spans="1:2" ht="14.25">
      <c r="A588" s="66"/>
      <c r="B588" s="67"/>
    </row>
    <row r="589" spans="1:2" ht="14.25">
      <c r="A589" s="66"/>
      <c r="B589" s="67"/>
    </row>
    <row r="590" spans="1:2" ht="14.25">
      <c r="A590" s="66"/>
      <c r="B590" s="67"/>
    </row>
    <row r="591" spans="1:2" ht="14.25">
      <c r="A591" s="66"/>
      <c r="B591" s="67"/>
    </row>
    <row r="592" spans="1:2" ht="14.25">
      <c r="A592" s="66"/>
      <c r="B592" s="67"/>
    </row>
    <row r="593" spans="1:2" ht="14.25">
      <c r="A593" s="66"/>
      <c r="B593" s="67"/>
    </row>
    <row r="594" spans="1:2" ht="14.25">
      <c r="A594" s="66"/>
      <c r="B594" s="67"/>
    </row>
    <row r="595" spans="1:2" ht="14.25">
      <c r="A595" s="66"/>
      <c r="B595" s="67"/>
    </row>
    <row r="596" spans="1:2" ht="14.25">
      <c r="A596" s="66"/>
      <c r="B596" s="67"/>
    </row>
    <row r="597" spans="1:2" ht="14.25">
      <c r="A597" s="66"/>
      <c r="B597" s="67"/>
    </row>
    <row r="598" spans="1:2" ht="14.25">
      <c r="A598" s="66"/>
      <c r="B598" s="67"/>
    </row>
    <row r="599" spans="1:2" ht="14.25">
      <c r="A599" s="66"/>
      <c r="B599" s="67"/>
    </row>
    <row r="600" spans="1:2" ht="14.25">
      <c r="A600" s="66"/>
      <c r="B600" s="67"/>
    </row>
    <row r="601" spans="1:2" ht="14.25">
      <c r="A601" s="66"/>
      <c r="B601" s="67"/>
    </row>
    <row r="602" spans="1:2" ht="14.25">
      <c r="A602" s="66"/>
      <c r="B602" s="67"/>
    </row>
    <row r="603" spans="1:2" ht="14.25">
      <c r="A603" s="66"/>
      <c r="B603" s="67"/>
    </row>
    <row r="604" spans="1:2" ht="14.25">
      <c r="A604" s="66"/>
      <c r="B604" s="67"/>
    </row>
    <row r="605" spans="1:2" ht="14.25">
      <c r="A605" s="66"/>
      <c r="B605" s="67"/>
    </row>
    <row r="606" spans="1:2" ht="14.25">
      <c r="A606" s="66"/>
      <c r="B606" s="67"/>
    </row>
    <row r="607" spans="1:2" ht="14.25">
      <c r="A607" s="66"/>
      <c r="B607" s="67"/>
    </row>
    <row r="608" spans="1:2" ht="14.25">
      <c r="A608" s="66"/>
      <c r="B608" s="67"/>
    </row>
    <row r="609" spans="1:2" ht="14.25">
      <c r="A609" s="66"/>
      <c r="B609" s="67"/>
    </row>
    <row r="610" spans="1:2" ht="14.25">
      <c r="A610" s="66"/>
      <c r="B610" s="67"/>
    </row>
    <row r="611" spans="1:2" ht="14.25">
      <c r="A611" s="66"/>
      <c r="B611" s="67"/>
    </row>
    <row r="612" spans="1:2" ht="14.25">
      <c r="A612" s="66"/>
      <c r="B612" s="67"/>
    </row>
    <row r="613" spans="1:2" ht="14.25">
      <c r="A613" s="66"/>
      <c r="B613" s="67"/>
    </row>
    <row r="614" spans="1:2" ht="14.25">
      <c r="A614" s="66"/>
      <c r="B614" s="67"/>
    </row>
    <row r="615" spans="1:2" ht="14.25">
      <c r="A615" s="66"/>
      <c r="B615" s="67"/>
    </row>
    <row r="616" spans="1:2" ht="14.25">
      <c r="A616" s="66"/>
      <c r="B616" s="67"/>
    </row>
    <row r="617" spans="1:2" ht="14.25">
      <c r="A617" s="66"/>
      <c r="B617" s="67"/>
    </row>
    <row r="618" spans="1:2" ht="14.25">
      <c r="A618" s="66"/>
      <c r="B618" s="67"/>
    </row>
    <row r="619" spans="1:2" ht="14.25">
      <c r="A619" s="66"/>
      <c r="B619" s="67"/>
    </row>
    <row r="620" spans="1:2" ht="14.25">
      <c r="A620" s="66"/>
      <c r="B620" s="67"/>
    </row>
    <row r="621" spans="1:2" ht="14.25">
      <c r="A621" s="66"/>
      <c r="B621" s="67"/>
    </row>
    <row r="622" spans="1:2" ht="14.25">
      <c r="A622" s="66"/>
      <c r="B622" s="67"/>
    </row>
    <row r="623" spans="1:2" ht="14.25">
      <c r="A623" s="66"/>
      <c r="B623" s="67"/>
    </row>
    <row r="624" spans="1:2" ht="14.25">
      <c r="A624" s="66"/>
      <c r="B624" s="67"/>
    </row>
    <row r="625" spans="1:2" ht="14.25">
      <c r="A625" s="66"/>
      <c r="B625" s="67"/>
    </row>
    <row r="626" spans="1:2" ht="14.25">
      <c r="A626" s="66"/>
      <c r="B626" s="67"/>
    </row>
    <row r="627" spans="1:2" ht="14.25">
      <c r="A627" s="66"/>
      <c r="B627" s="67"/>
    </row>
    <row r="628" spans="1:2" ht="14.25">
      <c r="A628" s="66"/>
      <c r="B628" s="67"/>
    </row>
    <row r="629" spans="1:2" ht="14.25">
      <c r="A629" s="66"/>
      <c r="B629" s="67"/>
    </row>
    <row r="630" spans="1:2" ht="14.25">
      <c r="A630" s="66"/>
      <c r="B630" s="67"/>
    </row>
    <row r="631" spans="1:2" ht="14.25">
      <c r="A631" s="66"/>
      <c r="B631" s="67"/>
    </row>
    <row r="632" spans="1:2" ht="14.25">
      <c r="A632" s="66"/>
      <c r="B632" s="67"/>
    </row>
    <row r="633" spans="1:2" ht="14.25">
      <c r="A633" s="66"/>
      <c r="B633" s="67"/>
    </row>
    <row r="634" spans="1:2" ht="14.25">
      <c r="A634" s="66"/>
      <c r="B634" s="67"/>
    </row>
    <row r="635" spans="1:2" ht="14.25">
      <c r="A635" s="66"/>
      <c r="B635" s="67"/>
    </row>
    <row r="636" spans="1:2" ht="14.25">
      <c r="A636" s="66"/>
      <c r="B636" s="67"/>
    </row>
    <row r="637" spans="1:2" ht="14.25">
      <c r="A637" s="66"/>
      <c r="B637" s="67"/>
    </row>
    <row r="638" spans="1:2" ht="14.25">
      <c r="A638" s="66"/>
      <c r="B638" s="67"/>
    </row>
    <row r="639" spans="1:2" ht="14.25">
      <c r="A639" s="66"/>
      <c r="B639" s="67"/>
    </row>
    <row r="640" spans="1:2" ht="14.25">
      <c r="A640" s="66"/>
      <c r="B640" s="67"/>
    </row>
    <row r="641" spans="1:2" ht="14.25">
      <c r="A641" s="66"/>
      <c r="B641" s="67"/>
    </row>
    <row r="642" spans="1:2" ht="14.25">
      <c r="A642" s="66"/>
      <c r="B642" s="67"/>
    </row>
    <row r="643" spans="1:2" ht="14.25">
      <c r="A643" s="66"/>
      <c r="B643" s="67"/>
    </row>
    <row r="644" spans="1:2" ht="14.25">
      <c r="A644" s="66"/>
      <c r="B644" s="67"/>
    </row>
    <row r="645" spans="1:2" ht="14.25">
      <c r="A645" s="66"/>
      <c r="B645" s="67"/>
    </row>
    <row r="646" spans="1:2" ht="14.25">
      <c r="A646" s="66"/>
      <c r="B646" s="67"/>
    </row>
    <row r="647" spans="1:2" ht="14.25">
      <c r="A647" s="66"/>
      <c r="B647" s="67"/>
    </row>
    <row r="648" spans="1:2" ht="14.25">
      <c r="A648" s="66"/>
      <c r="B648" s="67"/>
    </row>
    <row r="649" spans="1:2" ht="14.25">
      <c r="A649" s="66"/>
      <c r="B649" s="67"/>
    </row>
    <row r="650" spans="1:2" ht="14.25">
      <c r="A650" s="66"/>
      <c r="B650" s="67"/>
    </row>
    <row r="651" spans="1:2" ht="14.25">
      <c r="A651" s="66"/>
      <c r="B651" s="67"/>
    </row>
    <row r="652" spans="1:2" ht="14.25">
      <c r="A652" s="66"/>
      <c r="B652" s="67"/>
    </row>
    <row r="653" spans="1:2" ht="14.25">
      <c r="A653" s="66"/>
      <c r="B653" s="67"/>
    </row>
    <row r="654" spans="1:2" ht="14.25">
      <c r="A654" s="66"/>
      <c r="B654" s="67"/>
    </row>
    <row r="655" spans="1:2" ht="14.25">
      <c r="A655" s="66"/>
      <c r="B655" s="67"/>
    </row>
    <row r="656" spans="1:2" ht="14.25">
      <c r="A656" s="66"/>
      <c r="B656" s="67"/>
    </row>
    <row r="657" spans="1:2" ht="14.25">
      <c r="A657" s="66"/>
      <c r="B657" s="67"/>
    </row>
    <row r="658" spans="1:2" ht="14.25">
      <c r="A658" s="66"/>
      <c r="B658" s="67"/>
    </row>
    <row r="659" spans="1:2" ht="14.25">
      <c r="A659" s="66"/>
      <c r="B659" s="67"/>
    </row>
    <row r="660" spans="1:2" ht="14.25">
      <c r="A660" s="66"/>
      <c r="B660" s="67"/>
    </row>
    <row r="661" spans="1:2" ht="14.25">
      <c r="A661" s="66"/>
      <c r="B661" s="67"/>
    </row>
    <row r="662" spans="1:2" ht="14.25">
      <c r="A662" s="66"/>
      <c r="B662" s="67"/>
    </row>
    <row r="663" spans="1:2" ht="14.25">
      <c r="A663" s="66"/>
      <c r="B663" s="67"/>
    </row>
    <row r="664" spans="1:2" ht="14.25">
      <c r="A664" s="66"/>
      <c r="B664" s="67"/>
    </row>
    <row r="665" spans="1:2" ht="14.25">
      <c r="A665" s="66"/>
      <c r="B665" s="67"/>
    </row>
    <row r="666" spans="1:2" ht="14.25">
      <c r="A666" s="66"/>
      <c r="B666" s="67"/>
    </row>
    <row r="667" spans="1:2" ht="14.25">
      <c r="A667" s="66"/>
      <c r="B667" s="67"/>
    </row>
    <row r="668" spans="1:2" ht="14.25">
      <c r="A668" s="66"/>
      <c r="B668" s="67"/>
    </row>
    <row r="669" spans="1:2" ht="14.25">
      <c r="A669" s="66"/>
      <c r="B669" s="67"/>
    </row>
    <row r="670" spans="1:2" ht="14.25">
      <c r="A670" s="66"/>
      <c r="B670" s="67"/>
    </row>
    <row r="671" spans="1:2" ht="14.25">
      <c r="A671" s="66"/>
      <c r="B671" s="67"/>
    </row>
    <row r="672" spans="1:2" ht="14.25">
      <c r="A672" s="66"/>
      <c r="B672" s="67"/>
    </row>
    <row r="673" spans="1:2" ht="14.25">
      <c r="A673" s="66"/>
      <c r="B673" s="67"/>
    </row>
    <row r="674" spans="1:2" ht="14.25">
      <c r="A674" s="66"/>
      <c r="B674" s="67"/>
    </row>
    <row r="675" spans="1:2" ht="14.25">
      <c r="A675" s="66"/>
      <c r="B675" s="67"/>
    </row>
    <row r="676" spans="1:2" ht="14.25">
      <c r="A676" s="66"/>
      <c r="B676" s="67"/>
    </row>
    <row r="677" spans="1:2" ht="14.25">
      <c r="A677" s="66"/>
      <c r="B677" s="67"/>
    </row>
    <row r="678" spans="1:2" ht="14.25">
      <c r="A678" s="66"/>
      <c r="B678" s="67"/>
    </row>
    <row r="679" spans="1:2" ht="14.25">
      <c r="A679" s="66"/>
      <c r="B679" s="67"/>
    </row>
    <row r="680" spans="1:2" ht="14.25">
      <c r="A680" s="66"/>
      <c r="B680" s="67"/>
    </row>
    <row r="681" spans="1:2" ht="14.25">
      <c r="A681" s="66"/>
      <c r="B681" s="67"/>
    </row>
    <row r="682" spans="1:2" ht="14.25">
      <c r="A682" s="66"/>
      <c r="B682" s="67"/>
    </row>
    <row r="683" spans="1:2" ht="14.25">
      <c r="A683" s="66"/>
      <c r="B683" s="67"/>
    </row>
    <row r="684" spans="1:2" ht="14.25">
      <c r="A684" s="66"/>
      <c r="B684" s="67"/>
    </row>
    <row r="685" spans="1:2" ht="14.25">
      <c r="A685" s="66"/>
      <c r="B685" s="67"/>
    </row>
    <row r="686" spans="1:2" ht="14.25">
      <c r="A686" s="66"/>
      <c r="B686" s="67"/>
    </row>
    <row r="687" spans="1:2" ht="14.25">
      <c r="A687" s="66"/>
      <c r="B687" s="67"/>
    </row>
    <row r="688" spans="1:2" ht="14.25">
      <c r="A688" s="66"/>
      <c r="B688" s="67"/>
    </row>
    <row r="689" spans="1:2" ht="14.25">
      <c r="A689" s="66"/>
      <c r="B689" s="67"/>
    </row>
    <row r="690" spans="1:2" ht="14.25">
      <c r="A690" s="66"/>
      <c r="B690" s="67"/>
    </row>
    <row r="691" spans="1:2" ht="14.25">
      <c r="A691" s="66"/>
      <c r="B691" s="67"/>
    </row>
    <row r="692" spans="1:2" ht="14.25">
      <c r="A692" s="66"/>
      <c r="B692" s="67"/>
    </row>
    <row r="693" spans="1:2" ht="14.25">
      <c r="A693" s="66"/>
      <c r="B693" s="67"/>
    </row>
    <row r="694" spans="1:2" ht="14.25">
      <c r="A694" s="66"/>
      <c r="B694" s="67"/>
    </row>
    <row r="695" spans="1:2" ht="14.25">
      <c r="A695" s="66"/>
      <c r="B695" s="67"/>
    </row>
    <row r="696" spans="1:2" ht="14.25">
      <c r="A696" s="66"/>
      <c r="B696" s="67"/>
    </row>
    <row r="697" spans="1:2" ht="14.25">
      <c r="A697" s="66"/>
      <c r="B697" s="67"/>
    </row>
    <row r="698" spans="1:2" ht="14.25">
      <c r="A698" s="66"/>
      <c r="B698" s="67"/>
    </row>
    <row r="699" spans="1:2" ht="14.25">
      <c r="A699" s="66"/>
      <c r="B699" s="67"/>
    </row>
    <row r="700" spans="1:2" ht="14.25">
      <c r="A700" s="66"/>
      <c r="B700" s="67"/>
    </row>
    <row r="701" spans="1:2" ht="14.25">
      <c r="A701" s="66"/>
      <c r="B701" s="67"/>
    </row>
    <row r="702" spans="1:2" ht="14.25">
      <c r="A702" s="66"/>
      <c r="B702" s="67"/>
    </row>
    <row r="703" spans="1:2" ht="14.25">
      <c r="A703" s="66"/>
      <c r="B703" s="67"/>
    </row>
    <row r="704" spans="1:2" ht="14.25">
      <c r="A704" s="66"/>
      <c r="B704" s="67"/>
    </row>
    <row r="705" spans="1:2" ht="14.25">
      <c r="A705" s="66"/>
      <c r="B705" s="67"/>
    </row>
    <row r="706" spans="1:2" ht="14.25">
      <c r="A706" s="66"/>
      <c r="B706" s="67"/>
    </row>
    <row r="707" spans="1:2" ht="14.25">
      <c r="A707" s="66"/>
      <c r="B707" s="67"/>
    </row>
    <row r="708" spans="1:2" ht="14.25">
      <c r="A708" s="66"/>
      <c r="B708" s="67"/>
    </row>
    <row r="709" spans="1:2" ht="14.25">
      <c r="A709" s="66"/>
      <c r="B709" s="67"/>
    </row>
    <row r="710" spans="1:2" ht="14.25">
      <c r="A710" s="66"/>
      <c r="B710" s="67"/>
    </row>
    <row r="711" spans="1:2" ht="14.25">
      <c r="A711" s="66"/>
      <c r="B711" s="67"/>
    </row>
    <row r="712" spans="1:2" ht="14.25">
      <c r="A712" s="66"/>
      <c r="B712" s="67"/>
    </row>
    <row r="713" spans="1:2" ht="14.25">
      <c r="A713" s="66"/>
      <c r="B713" s="67"/>
    </row>
    <row r="714" spans="1:2" ht="14.25">
      <c r="A714" s="66"/>
      <c r="B714" s="67"/>
    </row>
    <row r="715" spans="1:2" ht="14.25">
      <c r="A715" s="66"/>
      <c r="B715" s="67"/>
    </row>
    <row r="716" spans="1:2" ht="14.25">
      <c r="A716" s="66"/>
      <c r="B716" s="67"/>
    </row>
    <row r="717" spans="1:2" ht="14.25">
      <c r="A717" s="66"/>
      <c r="B717" s="67"/>
    </row>
    <row r="718" spans="1:2" ht="14.25">
      <c r="A718" s="66"/>
      <c r="B718" s="67"/>
    </row>
    <row r="719" spans="1:2" ht="14.25">
      <c r="A719" s="66"/>
      <c r="B719" s="67"/>
    </row>
    <row r="720" spans="1:2" ht="14.25">
      <c r="A720" s="66"/>
      <c r="B720" s="67"/>
    </row>
    <row r="721" spans="1:2" ht="14.25">
      <c r="A721" s="66"/>
      <c r="B721" s="67"/>
    </row>
    <row r="722" spans="1:2" ht="14.25">
      <c r="A722" s="66"/>
      <c r="B722" s="67"/>
    </row>
    <row r="723" spans="1:2" ht="14.25">
      <c r="A723" s="66"/>
      <c r="B723" s="67"/>
    </row>
    <row r="724" spans="1:2" ht="14.25">
      <c r="A724" s="66"/>
      <c r="B724" s="67"/>
    </row>
    <row r="725" spans="1:2" ht="14.25">
      <c r="A725" s="66"/>
      <c r="B725" s="67"/>
    </row>
    <row r="726" spans="1:2" ht="14.25">
      <c r="A726" s="66"/>
      <c r="B726" s="67"/>
    </row>
    <row r="727" spans="1:2" ht="14.25">
      <c r="A727" s="66"/>
      <c r="B727" s="67"/>
    </row>
    <row r="728" spans="1:2" ht="14.25">
      <c r="A728" s="66"/>
      <c r="B728" s="67"/>
    </row>
    <row r="729" spans="1:2" ht="14.25">
      <c r="A729" s="66"/>
      <c r="B729" s="67"/>
    </row>
    <row r="730" spans="1:2" ht="14.25">
      <c r="A730" s="66"/>
      <c r="B730" s="67"/>
    </row>
    <row r="731" spans="1:2" ht="14.25">
      <c r="A731" s="66"/>
      <c r="B731" s="67"/>
    </row>
    <row r="732" spans="1:2" ht="14.25">
      <c r="A732" s="66"/>
      <c r="B732" s="67"/>
    </row>
    <row r="733" spans="1:2" ht="14.25">
      <c r="A733" s="66"/>
      <c r="B733" s="67"/>
    </row>
    <row r="734" spans="1:2" ht="14.25">
      <c r="A734" s="66"/>
      <c r="B734" s="67"/>
    </row>
    <row r="735" spans="1:2" ht="14.25">
      <c r="A735" s="66"/>
      <c r="B735" s="67"/>
    </row>
    <row r="736" spans="1:2" ht="14.25">
      <c r="A736" s="66"/>
      <c r="B736" s="67"/>
    </row>
    <row r="737" spans="1:2" ht="14.25">
      <c r="A737" s="66"/>
      <c r="B737" s="67"/>
    </row>
    <row r="738" spans="1:2" ht="14.25">
      <c r="A738" s="66"/>
      <c r="B738" s="67"/>
    </row>
    <row r="739" spans="1:2" ht="14.25">
      <c r="A739" s="66"/>
      <c r="B739" s="67"/>
    </row>
    <row r="740" spans="1:2" ht="14.25">
      <c r="A740" s="66"/>
      <c r="B740" s="67"/>
    </row>
    <row r="741" spans="1:2" ht="14.25">
      <c r="A741" s="66"/>
      <c r="B741" s="67"/>
    </row>
    <row r="742" spans="1:2" ht="14.25">
      <c r="A742" s="66"/>
      <c r="B742" s="67"/>
    </row>
    <row r="743" spans="1:2" ht="14.25">
      <c r="A743" s="66"/>
      <c r="B743" s="67"/>
    </row>
    <row r="744" spans="1:2" ht="14.25">
      <c r="A744" s="66"/>
      <c r="B744" s="67"/>
    </row>
    <row r="745" spans="1:2" ht="14.25">
      <c r="A745" s="66"/>
      <c r="B745" s="67"/>
    </row>
    <row r="746" spans="1:2" ht="14.25">
      <c r="A746" s="66"/>
      <c r="B746" s="67"/>
    </row>
    <row r="747" spans="1:2" ht="14.25">
      <c r="A747" s="66"/>
      <c r="B747" s="67"/>
    </row>
    <row r="748" spans="1:2" ht="14.25">
      <c r="A748" s="66"/>
      <c r="B748" s="67"/>
    </row>
    <row r="749" spans="1:2" ht="14.25">
      <c r="A749" s="66"/>
      <c r="B749" s="67"/>
    </row>
    <row r="750" spans="1:2" ht="14.25">
      <c r="A750" s="66"/>
      <c r="B750" s="67"/>
    </row>
    <row r="751" spans="1:2" ht="14.25">
      <c r="A751" s="66"/>
      <c r="B751" s="67"/>
    </row>
    <row r="752" spans="1:2" ht="14.25">
      <c r="A752" s="66"/>
      <c r="B752" s="67"/>
    </row>
    <row r="753" spans="1:2" ht="14.25">
      <c r="A753" s="66"/>
      <c r="B753" s="67"/>
    </row>
    <row r="754" spans="1:2" ht="14.25">
      <c r="A754" s="66"/>
      <c r="B754" s="67"/>
    </row>
    <row r="755" spans="1:2" ht="14.25">
      <c r="A755" s="66"/>
      <c r="B755" s="67"/>
    </row>
    <row r="756" spans="1:2" ht="14.25">
      <c r="A756" s="66"/>
      <c r="B756" s="67"/>
    </row>
    <row r="757" spans="1:2" ht="14.25">
      <c r="A757" s="66"/>
      <c r="B757" s="67"/>
    </row>
    <row r="758" spans="1:2" ht="14.25">
      <c r="A758" s="66"/>
      <c r="B758" s="67"/>
    </row>
    <row r="759" spans="1:2" ht="14.25">
      <c r="A759" s="66"/>
      <c r="B759" s="67"/>
    </row>
    <row r="760" spans="1:2" ht="14.25">
      <c r="A760" s="66"/>
      <c r="B760" s="67"/>
    </row>
    <row r="761" spans="1:2" ht="14.25">
      <c r="A761" s="66"/>
      <c r="B761" s="67"/>
    </row>
    <row r="762" spans="1:2" ht="14.25">
      <c r="A762" s="66"/>
      <c r="B762" s="67"/>
    </row>
    <row r="763" spans="1:2" ht="14.25">
      <c r="A763" s="66"/>
      <c r="B763" s="67"/>
    </row>
    <row r="764" spans="1:2" ht="14.25">
      <c r="A764" s="66"/>
      <c r="B764" s="67"/>
    </row>
    <row r="765" spans="1:2" ht="14.25">
      <c r="A765" s="66"/>
      <c r="B765" s="67"/>
    </row>
    <row r="766" spans="1:2" ht="14.25">
      <c r="A766" s="66"/>
      <c r="B766" s="67"/>
    </row>
    <row r="767" spans="1:2" ht="14.25">
      <c r="A767" s="66"/>
      <c r="B767" s="67"/>
    </row>
    <row r="768" spans="1:2" ht="14.25">
      <c r="A768" s="66"/>
      <c r="B768" s="67"/>
    </row>
    <row r="769" spans="1:2" ht="14.25">
      <c r="A769" s="66"/>
      <c r="B769" s="67"/>
    </row>
    <row r="770" spans="1:2" ht="14.25">
      <c r="A770" s="66"/>
      <c r="B770" s="67"/>
    </row>
    <row r="771" spans="1:2" ht="14.25">
      <c r="A771" s="66"/>
      <c r="B771" s="67"/>
    </row>
    <row r="772" spans="1:2" ht="14.25">
      <c r="A772" s="66"/>
      <c r="B772" s="67"/>
    </row>
    <row r="773" spans="1:2" ht="14.25">
      <c r="A773" s="66"/>
      <c r="B773" s="67"/>
    </row>
    <row r="774" spans="1:2" ht="14.25">
      <c r="A774" s="66"/>
      <c r="B774" s="67"/>
    </row>
    <row r="775" spans="1:2" ht="14.25">
      <c r="A775" s="66"/>
      <c r="B775" s="67"/>
    </row>
    <row r="776" spans="1:2" ht="14.25">
      <c r="A776" s="66"/>
      <c r="B776" s="67"/>
    </row>
    <row r="777" spans="1:2" ht="14.25">
      <c r="A777" s="66"/>
      <c r="B777" s="67"/>
    </row>
    <row r="778" spans="1:2" ht="14.25">
      <c r="A778" s="66"/>
      <c r="B778" s="67"/>
    </row>
    <row r="779" spans="1:2" ht="14.25">
      <c r="A779" s="66"/>
      <c r="B779" s="67"/>
    </row>
    <row r="780" spans="1:2" ht="14.25">
      <c r="A780" s="66"/>
      <c r="B780" s="67"/>
    </row>
    <row r="781" spans="1:2" ht="14.25">
      <c r="A781" s="66"/>
      <c r="B781" s="67"/>
    </row>
    <row r="782" spans="1:2" ht="14.25">
      <c r="A782" s="66"/>
      <c r="B782" s="67"/>
    </row>
    <row r="783" spans="1:2" ht="14.25">
      <c r="A783" s="66"/>
      <c r="B783" s="67"/>
    </row>
    <row r="784" spans="1:2" ht="14.25">
      <c r="A784" s="66"/>
      <c r="B784" s="67"/>
    </row>
    <row r="785" spans="1:2" ht="14.25">
      <c r="A785" s="66"/>
      <c r="B785" s="67"/>
    </row>
    <row r="786" spans="1:2" ht="14.25">
      <c r="A786" s="66"/>
      <c r="B786" s="67"/>
    </row>
    <row r="787" spans="1:2" ht="14.25">
      <c r="A787" s="66"/>
      <c r="B787" s="67"/>
    </row>
    <row r="788" spans="1:2" ht="14.25">
      <c r="A788" s="66"/>
      <c r="B788" s="67"/>
    </row>
    <row r="789" spans="1:2" ht="14.25">
      <c r="A789" s="66"/>
      <c r="B789" s="67"/>
    </row>
    <row r="790" spans="1:2" ht="14.25">
      <c r="A790" s="66"/>
      <c r="B790" s="67"/>
    </row>
    <row r="791" spans="1:2" ht="14.25">
      <c r="A791" s="66"/>
      <c r="B791" s="67"/>
    </row>
    <row r="792" spans="1:2" ht="14.25">
      <c r="A792" s="66"/>
      <c r="B792" s="67"/>
    </row>
    <row r="793" spans="1:2" ht="14.25">
      <c r="A793" s="66"/>
      <c r="B793" s="67"/>
    </row>
    <row r="794" spans="1:2" ht="14.25">
      <c r="A794" s="66"/>
      <c r="B794" s="67"/>
    </row>
    <row r="795" spans="1:2" ht="14.25">
      <c r="A795" s="66"/>
      <c r="B795" s="67"/>
    </row>
    <row r="796" spans="1:2" ht="14.25">
      <c r="A796" s="66"/>
      <c r="B796" s="67"/>
    </row>
    <row r="797" spans="1:2" ht="14.25">
      <c r="A797" s="66"/>
      <c r="B797" s="67"/>
    </row>
    <row r="798" spans="1:2" ht="14.25">
      <c r="A798" s="66"/>
      <c r="B798" s="67"/>
    </row>
    <row r="799" spans="1:2" ht="14.25">
      <c r="A799" s="66"/>
      <c r="B799" s="67"/>
    </row>
    <row r="800" spans="1:2" ht="14.25">
      <c r="A800" s="66"/>
      <c r="B800" s="67"/>
    </row>
    <row r="801" spans="1:2" ht="14.25">
      <c r="A801" s="66"/>
      <c r="B801" s="67"/>
    </row>
    <row r="802" spans="1:2" ht="14.25">
      <c r="A802" s="66"/>
      <c r="B802" s="67"/>
    </row>
    <row r="803" spans="1:2" ht="14.25">
      <c r="A803" s="66"/>
      <c r="B803" s="67"/>
    </row>
    <row r="804" spans="1:2" ht="14.25">
      <c r="A804" s="66"/>
      <c r="B804" s="67"/>
    </row>
    <row r="805" spans="1:2" ht="14.25">
      <c r="A805" s="66"/>
      <c r="B805" s="67"/>
    </row>
    <row r="806" spans="1:2" ht="14.25">
      <c r="A806" s="66"/>
      <c r="B806" s="67"/>
    </row>
    <row r="807" spans="1:2" ht="14.25">
      <c r="A807" s="66"/>
      <c r="B807" s="67"/>
    </row>
    <row r="808" spans="1:2" ht="14.25">
      <c r="A808" s="66"/>
      <c r="B808" s="67"/>
    </row>
    <row r="809" spans="1:2" ht="14.25">
      <c r="A809" s="66"/>
      <c r="B809" s="67"/>
    </row>
    <row r="810" spans="1:2" ht="14.25">
      <c r="A810" s="66"/>
      <c r="B810" s="67"/>
    </row>
    <row r="811" spans="1:2" ht="14.25">
      <c r="A811" s="66"/>
      <c r="B811" s="67"/>
    </row>
    <row r="812" spans="1:2" ht="14.25">
      <c r="A812" s="66"/>
      <c r="B812" s="67"/>
    </row>
    <row r="813" spans="1:2" ht="14.25">
      <c r="A813" s="66"/>
      <c r="B813" s="67"/>
    </row>
    <row r="814" spans="1:2" ht="14.25">
      <c r="A814" s="66"/>
      <c r="B814" s="67"/>
    </row>
    <row r="815" spans="1:2" ht="14.25">
      <c r="A815" s="66"/>
      <c r="B815" s="67"/>
    </row>
    <row r="816" spans="1:2" ht="14.25">
      <c r="A816" s="66"/>
      <c r="B816" s="67"/>
    </row>
    <row r="817" spans="1:2" ht="14.25">
      <c r="A817" s="66"/>
      <c r="B817" s="67"/>
    </row>
    <row r="818" spans="1:2" ht="14.25">
      <c r="A818" s="66"/>
      <c r="B818" s="67"/>
    </row>
    <row r="819" spans="1:2" ht="14.25">
      <c r="A819" s="66"/>
      <c r="B819" s="67"/>
    </row>
    <row r="820" spans="1:2" ht="14.25">
      <c r="A820" s="66"/>
      <c r="B820" s="67"/>
    </row>
    <row r="821" spans="1:2" ht="14.25">
      <c r="A821" s="66"/>
      <c r="B821" s="67"/>
    </row>
    <row r="822" spans="1:2" ht="14.25">
      <c r="A822" s="66"/>
      <c r="B822" s="67"/>
    </row>
    <row r="823" spans="1:2" ht="14.25">
      <c r="A823" s="66"/>
      <c r="B823" s="67"/>
    </row>
    <row r="824" spans="1:2" ht="14.25">
      <c r="A824" s="66"/>
      <c r="B824" s="67"/>
    </row>
    <row r="825" spans="1:2" ht="14.25">
      <c r="A825" s="66"/>
      <c r="B825" s="67"/>
    </row>
    <row r="826" spans="1:2" ht="14.25">
      <c r="A826" s="66"/>
      <c r="B826" s="67"/>
    </row>
    <row r="827" spans="1:2" ht="14.25">
      <c r="A827" s="66"/>
      <c r="B827" s="67"/>
    </row>
    <row r="828" spans="1:2" ht="14.25">
      <c r="A828" s="66"/>
      <c r="B828" s="67"/>
    </row>
    <row r="829" spans="1:2" ht="14.25">
      <c r="A829" s="66"/>
      <c r="B829" s="67"/>
    </row>
    <row r="830" spans="1:2" ht="14.25">
      <c r="A830" s="66"/>
      <c r="B830" s="67"/>
    </row>
    <row r="831" spans="1:2" ht="14.25">
      <c r="A831" s="66"/>
      <c r="B831" s="67"/>
    </row>
    <row r="832" spans="1:2" ht="14.25">
      <c r="A832" s="66"/>
      <c r="B832" s="67"/>
    </row>
    <row r="833" spans="1:2" ht="14.25">
      <c r="A833" s="66"/>
      <c r="B833" s="67"/>
    </row>
    <row r="834" spans="1:2" ht="14.25">
      <c r="A834" s="66"/>
      <c r="B834" s="67"/>
    </row>
    <row r="835" spans="1:2" ht="14.25">
      <c r="A835" s="66"/>
      <c r="B835" s="67"/>
    </row>
    <row r="836" spans="1:2" ht="14.25">
      <c r="A836" s="66"/>
      <c r="B836" s="67"/>
    </row>
    <row r="837" spans="1:2" ht="14.25">
      <c r="A837" s="66"/>
      <c r="B837" s="67"/>
    </row>
    <row r="838" spans="1:2" ht="14.25">
      <c r="A838" s="66"/>
      <c r="B838" s="67"/>
    </row>
    <row r="839" spans="1:2" ht="14.25">
      <c r="A839" s="66"/>
      <c r="B839" s="67"/>
    </row>
    <row r="840" spans="1:2" ht="14.25">
      <c r="A840" s="66"/>
      <c r="B840" s="67"/>
    </row>
    <row r="841" spans="1:2" ht="14.25">
      <c r="A841" s="66"/>
      <c r="B841" s="67"/>
    </row>
    <row r="842" spans="1:2" ht="14.25">
      <c r="A842" s="66"/>
      <c r="B842" s="67"/>
    </row>
    <row r="843" spans="1:2" ht="14.25">
      <c r="A843" s="66"/>
      <c r="B843" s="67"/>
    </row>
    <row r="844" spans="1:2" ht="14.25">
      <c r="A844" s="66"/>
      <c r="B844" s="67"/>
    </row>
    <row r="845" spans="1:2" ht="14.25">
      <c r="A845" s="66"/>
      <c r="B845" s="67"/>
    </row>
    <row r="846" spans="1:2" ht="14.25">
      <c r="A846" s="66"/>
      <c r="B846" s="67"/>
    </row>
    <row r="847" spans="1:2" ht="14.25">
      <c r="A847" s="66"/>
      <c r="B847" s="67"/>
    </row>
    <row r="848" spans="1:2" ht="14.25">
      <c r="A848" s="66"/>
      <c r="B848" s="67"/>
    </row>
    <row r="849" spans="1:2" ht="14.25">
      <c r="A849" s="66"/>
      <c r="B849" s="67"/>
    </row>
    <row r="850" spans="1:2" ht="14.25">
      <c r="A850" s="66"/>
      <c r="B850" s="67"/>
    </row>
    <row r="851" spans="1:2" ht="14.25">
      <c r="A851" s="66"/>
      <c r="B851" s="67"/>
    </row>
    <row r="852" spans="1:2" ht="14.25">
      <c r="A852" s="66"/>
      <c r="B852" s="67"/>
    </row>
    <row r="853" spans="1:2" ht="14.25">
      <c r="A853" s="66"/>
      <c r="B853" s="67"/>
    </row>
    <row r="854" spans="1:2" ht="14.25">
      <c r="A854" s="66"/>
      <c r="B854" s="67"/>
    </row>
    <row r="855" spans="1:2" ht="14.25">
      <c r="A855" s="66"/>
      <c r="B855" s="67"/>
    </row>
    <row r="856" spans="1:2" ht="14.25">
      <c r="A856" s="66"/>
      <c r="B856" s="67"/>
    </row>
    <row r="857" spans="1:2" ht="14.25">
      <c r="A857" s="66"/>
      <c r="B857" s="67"/>
    </row>
    <row r="858" spans="1:2" ht="14.25">
      <c r="A858" s="66"/>
      <c r="B858" s="67"/>
    </row>
    <row r="859" spans="1:2" ht="14.25">
      <c r="A859" s="66"/>
      <c r="B859" s="67"/>
    </row>
    <row r="860" spans="1:2" ht="14.25">
      <c r="A860" s="66"/>
      <c r="B860" s="67"/>
    </row>
    <row r="861" spans="1:2" ht="14.25">
      <c r="A861" s="66"/>
      <c r="B861" s="67"/>
    </row>
    <row r="862" spans="1:2" ht="14.25">
      <c r="A862" s="66"/>
      <c r="B862" s="67"/>
    </row>
    <row r="863" spans="1:2" ht="14.25">
      <c r="A863" s="66"/>
      <c r="B863" s="67"/>
    </row>
    <row r="864" spans="1:2" ht="14.25">
      <c r="A864" s="66"/>
      <c r="B864" s="67"/>
    </row>
    <row r="865" spans="1:2" ht="14.25">
      <c r="A865" s="66"/>
      <c r="B865" s="67"/>
    </row>
    <row r="866" spans="1:2" ht="14.25">
      <c r="A866" s="66"/>
      <c r="B866" s="67"/>
    </row>
    <row r="867" spans="1:2" ht="14.25">
      <c r="A867" s="66"/>
      <c r="B867" s="67"/>
    </row>
    <row r="868" spans="1:2" ht="14.25">
      <c r="A868" s="66"/>
      <c r="B868" s="67"/>
    </row>
    <row r="869" spans="1:2" ht="14.25">
      <c r="A869" s="66"/>
      <c r="B869" s="67"/>
    </row>
    <row r="870" spans="1:2" ht="14.25">
      <c r="A870" s="66"/>
      <c r="B870" s="67"/>
    </row>
    <row r="871" spans="1:2" ht="14.25">
      <c r="A871" s="66"/>
      <c r="B871" s="67"/>
    </row>
    <row r="872" spans="1:2" ht="14.25">
      <c r="A872" s="66"/>
      <c r="B872" s="67"/>
    </row>
    <row r="873" spans="1:2" ht="14.25">
      <c r="A873" s="66"/>
      <c r="B873" s="67"/>
    </row>
    <row r="874" spans="1:2" ht="14.25">
      <c r="A874" s="66"/>
      <c r="B874" s="67"/>
    </row>
    <row r="875" spans="1:2" ht="14.25">
      <c r="A875" s="66"/>
      <c r="B875" s="67"/>
    </row>
    <row r="876" spans="1:2" ht="14.25">
      <c r="A876" s="66"/>
      <c r="B876" s="67"/>
    </row>
    <row r="877" spans="1:2" ht="14.25">
      <c r="A877" s="66"/>
      <c r="B877" s="67"/>
    </row>
    <row r="878" spans="1:2" ht="14.25">
      <c r="A878" s="66"/>
      <c r="B878" s="67"/>
    </row>
    <row r="879" spans="1:2" ht="14.25">
      <c r="A879" s="66"/>
      <c r="B879" s="67"/>
    </row>
    <row r="880" spans="1:2" ht="14.25">
      <c r="A880" s="66"/>
      <c r="B880" s="67"/>
    </row>
    <row r="881" spans="1:2" ht="14.25">
      <c r="A881" s="66"/>
      <c r="B881" s="67"/>
    </row>
    <row r="882" spans="1:2" ht="14.25">
      <c r="A882" s="66"/>
      <c r="B882" s="67"/>
    </row>
    <row r="883" spans="1:2" ht="14.25">
      <c r="A883" s="66"/>
      <c r="B883" s="67"/>
    </row>
    <row r="884" spans="1:2" ht="14.25">
      <c r="A884" s="66"/>
      <c r="B884" s="67"/>
    </row>
    <row r="885" spans="1:2" ht="14.25">
      <c r="A885" s="66"/>
      <c r="B885" s="67"/>
    </row>
    <row r="886" spans="1:2" ht="14.25">
      <c r="A886" s="66"/>
      <c r="B886" s="67"/>
    </row>
    <row r="887" spans="1:2" ht="14.25">
      <c r="A887" s="66"/>
      <c r="B887" s="67"/>
    </row>
    <row r="888" spans="1:2" ht="14.25">
      <c r="A888" s="66"/>
      <c r="B888" s="67"/>
    </row>
    <row r="889" spans="1:2" ht="14.25">
      <c r="A889" s="66"/>
      <c r="B889" s="67"/>
    </row>
    <row r="890" spans="1:2" ht="14.25">
      <c r="A890" s="66"/>
      <c r="B890" s="67"/>
    </row>
    <row r="891" spans="1:2" ht="14.25">
      <c r="A891" s="66"/>
      <c r="B891" s="67"/>
    </row>
    <row r="892" spans="1:2" ht="14.25">
      <c r="A892" s="66"/>
      <c r="B892" s="67"/>
    </row>
    <row r="893" spans="1:2" ht="14.25">
      <c r="A893" s="66"/>
      <c r="B893" s="67"/>
    </row>
    <row r="894" spans="1:2" ht="14.25">
      <c r="A894" s="66"/>
      <c r="B894" s="67"/>
    </row>
    <row r="895" spans="1:2" ht="14.25">
      <c r="A895" s="66"/>
      <c r="B895" s="67"/>
    </row>
    <row r="896" spans="1:2" ht="14.25">
      <c r="A896" s="66"/>
      <c r="B896" s="67"/>
    </row>
    <row r="897" spans="1:2" ht="14.25">
      <c r="A897" s="66"/>
      <c r="B897" s="67"/>
    </row>
    <row r="898" spans="1:2" ht="14.25">
      <c r="A898" s="66"/>
      <c r="B898" s="67"/>
    </row>
    <row r="899" spans="1:2" ht="14.25">
      <c r="A899" s="66"/>
      <c r="B899" s="67"/>
    </row>
    <row r="900" spans="1:2" ht="14.25">
      <c r="A900" s="66"/>
      <c r="B900" s="67"/>
    </row>
    <row r="901" spans="1:2" ht="14.25">
      <c r="A901" s="66"/>
      <c r="B901" s="67"/>
    </row>
    <row r="902" spans="1:2" ht="14.25">
      <c r="A902" s="66"/>
      <c r="B902" s="67"/>
    </row>
    <row r="903" spans="1:2" ht="14.25">
      <c r="A903" s="66"/>
      <c r="B903" s="67"/>
    </row>
    <row r="904" spans="1:2" ht="14.25">
      <c r="A904" s="66"/>
      <c r="B904" s="67"/>
    </row>
    <row r="905" spans="1:2" ht="14.25">
      <c r="A905" s="66"/>
      <c r="B905" s="67"/>
    </row>
    <row r="906" spans="1:2" ht="14.25">
      <c r="A906" s="66"/>
      <c r="B906" s="67"/>
    </row>
    <row r="907" spans="1:2" ht="14.25">
      <c r="A907" s="66"/>
      <c r="B907" s="67"/>
    </row>
    <row r="908" spans="1:2" ht="14.25">
      <c r="A908" s="66"/>
      <c r="B908" s="67"/>
    </row>
    <row r="909" spans="1:2" ht="14.25">
      <c r="A909" s="66"/>
      <c r="B909" s="67"/>
    </row>
    <row r="910" spans="1:2" ht="14.25">
      <c r="A910" s="66"/>
      <c r="B910" s="67"/>
    </row>
    <row r="911" spans="1:2" ht="14.25">
      <c r="A911" s="66"/>
      <c r="B911" s="67"/>
    </row>
    <row r="912" spans="1:2" ht="14.25">
      <c r="A912" s="66"/>
      <c r="B912" s="67"/>
    </row>
    <row r="913" spans="1:2" ht="14.25">
      <c r="A913" s="66"/>
      <c r="B913" s="67"/>
    </row>
    <row r="914" spans="1:2" ht="14.25">
      <c r="A914" s="66"/>
      <c r="B914" s="67"/>
    </row>
    <row r="915" spans="1:2" ht="14.25">
      <c r="A915" s="66"/>
      <c r="B915" s="67"/>
    </row>
    <row r="916" spans="1:2" ht="14.25">
      <c r="A916" s="66"/>
      <c r="B916" s="67"/>
    </row>
    <row r="917" spans="1:2" ht="14.25">
      <c r="A917" s="66"/>
      <c r="B917" s="67"/>
    </row>
    <row r="918" spans="1:2" ht="14.25">
      <c r="A918" s="66"/>
      <c r="B918" s="67"/>
    </row>
    <row r="919" spans="1:2" ht="14.25">
      <c r="A919" s="66"/>
      <c r="B919" s="67"/>
    </row>
    <row r="920" spans="1:2" ht="14.25">
      <c r="A920" s="66"/>
      <c r="B920" s="67"/>
    </row>
    <row r="921" spans="1:2" ht="14.25">
      <c r="A921" s="66"/>
      <c r="B921" s="67"/>
    </row>
    <row r="922" spans="1:2" ht="14.25">
      <c r="A922" s="66"/>
      <c r="B922" s="67"/>
    </row>
    <row r="923" spans="1:2" ht="14.25">
      <c r="A923" s="66"/>
      <c r="B923" s="67"/>
    </row>
    <row r="924" spans="1:2" ht="14.25">
      <c r="A924" s="66"/>
      <c r="B924" s="67"/>
    </row>
    <row r="925" spans="1:2" ht="14.25">
      <c r="A925" s="66"/>
      <c r="B925" s="67"/>
    </row>
    <row r="926" spans="1:2" ht="14.25">
      <c r="A926" s="66"/>
      <c r="B926" s="67"/>
    </row>
    <row r="927" spans="1:2" ht="14.25">
      <c r="A927" s="66"/>
      <c r="B927" s="67"/>
    </row>
    <row r="928" spans="1:2" ht="14.25">
      <c r="A928" s="66"/>
      <c r="B928" s="67"/>
    </row>
    <row r="929" spans="1:2" ht="14.25">
      <c r="A929" s="66"/>
      <c r="B929" s="67"/>
    </row>
    <row r="930" spans="1:2" ht="14.25">
      <c r="A930" s="66"/>
      <c r="B930" s="67"/>
    </row>
    <row r="931" spans="1:2" ht="14.25">
      <c r="A931" s="66"/>
      <c r="B931" s="67"/>
    </row>
    <row r="932" spans="1:2" ht="14.25">
      <c r="A932" s="66"/>
      <c r="B932" s="67"/>
    </row>
    <row r="933" spans="1:2" ht="14.25">
      <c r="A933" s="66"/>
      <c r="B933" s="67"/>
    </row>
    <row r="934" spans="1:2" ht="14.25">
      <c r="A934" s="66"/>
      <c r="B934" s="67"/>
    </row>
    <row r="935" spans="1:2" ht="14.25">
      <c r="A935" s="66"/>
      <c r="B935" s="67"/>
    </row>
    <row r="936" spans="1:2" ht="14.25">
      <c r="A936" s="66"/>
      <c r="B936" s="67"/>
    </row>
    <row r="937" spans="1:2" ht="14.25">
      <c r="A937" s="66"/>
      <c r="B937" s="67"/>
    </row>
    <row r="938" spans="1:2" ht="14.25">
      <c r="A938" s="66"/>
      <c r="B938" s="67"/>
    </row>
    <row r="939" spans="1:2" ht="14.25">
      <c r="A939" s="66"/>
      <c r="B939" s="67"/>
    </row>
    <row r="940" spans="1:2" ht="14.25">
      <c r="A940" s="66"/>
      <c r="B940" s="67"/>
    </row>
    <row r="941" spans="1:2" ht="14.25">
      <c r="A941" s="66"/>
      <c r="B941" s="67"/>
    </row>
    <row r="942" spans="1:2" ht="14.25">
      <c r="A942" s="66"/>
      <c r="B942" s="67"/>
    </row>
    <row r="943" spans="1:2" ht="14.25">
      <c r="A943" s="66"/>
      <c r="B943" s="67"/>
    </row>
    <row r="944" spans="1:2" ht="14.25">
      <c r="A944" s="66"/>
      <c r="B944" s="67"/>
    </row>
    <row r="945" spans="1:2" ht="14.25">
      <c r="A945" s="66"/>
      <c r="B945" s="67"/>
    </row>
    <row r="946" spans="1:2" ht="14.25">
      <c r="A946" s="66"/>
      <c r="B946" s="67"/>
    </row>
    <row r="947" spans="1:2" ht="14.25">
      <c r="A947" s="66"/>
      <c r="B947" s="67"/>
    </row>
    <row r="948" spans="1:2" ht="14.25">
      <c r="A948" s="66"/>
      <c r="B948" s="67"/>
    </row>
    <row r="949" spans="1:2" ht="14.25">
      <c r="A949" s="66"/>
      <c r="B949" s="67"/>
    </row>
    <row r="950" spans="1:2" ht="14.25">
      <c r="A950" s="66"/>
      <c r="B950" s="67"/>
    </row>
    <row r="951" spans="1:2" ht="14.25">
      <c r="A951" s="66"/>
      <c r="B951" s="67"/>
    </row>
    <row r="952" spans="1:2" ht="14.25">
      <c r="A952" s="66"/>
      <c r="B952" s="67"/>
    </row>
    <row r="953" spans="1:2" ht="14.25">
      <c r="A953" s="66"/>
      <c r="B953" s="67"/>
    </row>
    <row r="954" spans="1:2" ht="14.25">
      <c r="A954" s="66"/>
      <c r="B954" s="67"/>
    </row>
    <row r="955" spans="1:2" ht="14.25">
      <c r="A955" s="66"/>
      <c r="B955" s="67"/>
    </row>
    <row r="956" spans="1:2" ht="14.25">
      <c r="A956" s="66"/>
      <c r="B956" s="67"/>
    </row>
    <row r="957" spans="1:2" ht="14.25">
      <c r="A957" s="66"/>
      <c r="B957" s="67"/>
    </row>
    <row r="958" spans="1:2" ht="14.25">
      <c r="A958" s="66"/>
      <c r="B958" s="67"/>
    </row>
    <row r="959" spans="1:2" ht="14.25">
      <c r="A959" s="66"/>
      <c r="B959" s="67"/>
    </row>
    <row r="960" spans="1:2" ht="14.25">
      <c r="A960" s="66"/>
      <c r="B960" s="67"/>
    </row>
    <row r="961" spans="1:2" ht="14.25">
      <c r="A961" s="66"/>
      <c r="B961" s="67"/>
    </row>
    <row r="962" spans="1:2" ht="14.25">
      <c r="A962" s="66"/>
      <c r="B962" s="67"/>
    </row>
    <row r="963" spans="1:2" ht="14.25">
      <c r="A963" s="66"/>
      <c r="B963" s="67"/>
    </row>
    <row r="964" spans="1:2" ht="14.25">
      <c r="A964" s="66"/>
      <c r="B964" s="67"/>
    </row>
    <row r="965" spans="1:2" ht="14.25">
      <c r="A965" s="66"/>
      <c r="B965" s="67"/>
    </row>
    <row r="966" spans="1:2" ht="14.25">
      <c r="A966" s="66"/>
      <c r="B966" s="67"/>
    </row>
    <row r="967" spans="1:2" ht="14.25">
      <c r="A967" s="66"/>
      <c r="B967" s="67"/>
    </row>
    <row r="968" spans="1:2" ht="14.25">
      <c r="A968" s="66"/>
      <c r="B968" s="67"/>
    </row>
    <row r="969" spans="1:2" ht="14.25">
      <c r="A969" s="66"/>
      <c r="B969" s="67"/>
    </row>
    <row r="970" spans="1:2" ht="14.25">
      <c r="A970" s="66"/>
      <c r="B970" s="67"/>
    </row>
    <row r="971" spans="1:2" ht="14.25">
      <c r="A971" s="66"/>
      <c r="B971" s="67"/>
    </row>
    <row r="972" spans="1:2" ht="14.25">
      <c r="A972" s="66"/>
      <c r="B972" s="67"/>
    </row>
    <row r="973" spans="1:2" ht="14.25">
      <c r="A973" s="66"/>
      <c r="B973" s="67"/>
    </row>
    <row r="974" spans="1:2" ht="14.25">
      <c r="A974" s="66"/>
      <c r="B974" s="67"/>
    </row>
    <row r="975" spans="1:2" ht="14.25">
      <c r="A975" s="66"/>
      <c r="B975" s="67"/>
    </row>
    <row r="976" spans="1:2" ht="14.25">
      <c r="A976" s="66"/>
      <c r="B976" s="67"/>
    </row>
    <row r="977" spans="1:2" ht="14.25">
      <c r="A977" s="66"/>
      <c r="B977" s="67"/>
    </row>
    <row r="978" spans="1:2" ht="14.25">
      <c r="A978" s="66"/>
      <c r="B978" s="67"/>
    </row>
    <row r="979" spans="1:2" ht="14.25">
      <c r="A979" s="66"/>
      <c r="B979" s="67"/>
    </row>
    <row r="980" spans="1:2" ht="14.25">
      <c r="A980" s="66"/>
      <c r="B980" s="67"/>
    </row>
    <row r="981" spans="1:2" ht="14.25">
      <c r="A981" s="66"/>
      <c r="B981" s="67"/>
    </row>
    <row r="982" spans="1:2" ht="14.25">
      <c r="A982" s="66"/>
      <c r="B982" s="67"/>
    </row>
    <row r="983" spans="1:2" ht="14.25">
      <c r="A983" s="66"/>
      <c r="B983" s="67"/>
    </row>
    <row r="984" spans="1:2" ht="14.25">
      <c r="A984" s="66"/>
      <c r="B984" s="67"/>
    </row>
    <row r="985" spans="1:2" ht="14.25">
      <c r="A985" s="66"/>
      <c r="B985" s="67"/>
    </row>
    <row r="986" spans="1:2" ht="14.25">
      <c r="A986" s="66"/>
      <c r="B986" s="67"/>
    </row>
    <row r="987" spans="1:2" ht="14.25">
      <c r="A987" s="66"/>
      <c r="B987" s="67"/>
    </row>
    <row r="988" spans="1:2" ht="14.25">
      <c r="A988" s="66"/>
      <c r="B988" s="67"/>
    </row>
    <row r="989" spans="1:2" ht="14.25">
      <c r="A989" s="66"/>
      <c r="B989" s="67"/>
    </row>
    <row r="990" spans="1:2" ht="14.25">
      <c r="A990" s="66"/>
      <c r="B990" s="67"/>
    </row>
    <row r="991" spans="1:2" ht="14.25">
      <c r="A991" s="66"/>
      <c r="B991" s="67"/>
    </row>
    <row r="992" spans="1:2" ht="14.25">
      <c r="A992" s="66"/>
      <c r="B992" s="67"/>
    </row>
    <row r="993" spans="1:2" ht="14.25">
      <c r="A993" s="66"/>
      <c r="B993" s="67"/>
    </row>
    <row r="994" spans="1:2" ht="14.25">
      <c r="A994" s="66"/>
      <c r="B994" s="67"/>
    </row>
    <row r="995" spans="1:2" ht="14.25">
      <c r="A995" s="66"/>
      <c r="B995" s="67"/>
    </row>
    <row r="996" spans="1:2" ht="14.25">
      <c r="A996" s="66"/>
      <c r="B996" s="67"/>
    </row>
    <row r="997" spans="1:2" ht="14.25">
      <c r="A997" s="66"/>
      <c r="B997" s="67"/>
    </row>
    <row r="998" spans="1:2" ht="14.25">
      <c r="A998" s="66"/>
      <c r="B998" s="67"/>
    </row>
    <row r="999" spans="1:2" ht="14.25">
      <c r="A999" s="66"/>
      <c r="B999" s="67"/>
    </row>
    <row r="1000" spans="1:2" ht="14.25">
      <c r="A1000" s="66"/>
      <c r="B1000" s="67"/>
    </row>
    <row r="1001" spans="1:2" ht="14.25">
      <c r="A1001" s="66"/>
      <c r="B1001" s="67"/>
    </row>
    <row r="1002" spans="1:2" ht="14.25">
      <c r="A1002" s="66"/>
      <c r="B1002" s="67"/>
    </row>
    <row r="1003" spans="1:2" ht="14.25">
      <c r="A1003" s="66"/>
      <c r="B1003" s="67"/>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E1000"/>
  <sheetViews>
    <sheetView zoomScale="90" zoomScaleNormal="90" workbookViewId="0">
      <selection activeCell="E1" sqref="E1:E1048576"/>
    </sheetView>
  </sheetViews>
  <sheetFormatPr defaultColWidth="11.5703125" defaultRowHeight="23.25"/>
  <cols>
    <col min="1" max="1" width="80.85546875" customWidth="1"/>
    <col min="2" max="2" width="3.42578125" customWidth="1"/>
    <col min="3" max="4" width="12.5703125" customWidth="1"/>
    <col min="5" max="5" width="11.140625" style="80" customWidth="1"/>
    <col min="6" max="64" width="12.5703125" customWidth="1"/>
  </cols>
  <sheetData>
    <row r="1" spans="1:2">
      <c r="A1" s="68" t="s">
        <v>75</v>
      </c>
      <c r="B1" s="69"/>
    </row>
    <row r="2" spans="1:2">
      <c r="A2" s="70"/>
      <c r="B2" s="71"/>
    </row>
    <row r="3" spans="1:2">
      <c r="A3" s="70" t="s">
        <v>76</v>
      </c>
      <c r="B3" s="71"/>
    </row>
    <row r="4" spans="1:2">
      <c r="A4" s="72"/>
      <c r="B4" s="71"/>
    </row>
    <row r="5" spans="1:2">
      <c r="A5" s="72"/>
      <c r="B5" s="71"/>
    </row>
    <row r="6" spans="1:2" ht="59.25">
      <c r="A6" s="72" t="s">
        <v>77</v>
      </c>
      <c r="B6" s="71"/>
    </row>
    <row r="7" spans="1:2">
      <c r="A7" s="72"/>
      <c r="B7" s="71"/>
    </row>
    <row r="8" spans="1:2" ht="30.75">
      <c r="A8" s="72" t="s">
        <v>78</v>
      </c>
      <c r="B8" s="71"/>
    </row>
    <row r="9" spans="1:2">
      <c r="A9" s="72"/>
      <c r="B9" s="71"/>
    </row>
    <row r="10" spans="1:2" ht="30.75">
      <c r="A10" s="72" t="s">
        <v>79</v>
      </c>
      <c r="B10" s="71"/>
    </row>
    <row r="11" spans="1:2">
      <c r="A11" s="72"/>
      <c r="B11" s="71"/>
    </row>
    <row r="12" spans="1:2" ht="30.75">
      <c r="A12" s="72" t="s">
        <v>80</v>
      </c>
      <c r="B12" s="71"/>
    </row>
    <row r="13" spans="1:2">
      <c r="A13" s="72"/>
      <c r="B13" s="71"/>
    </row>
    <row r="14" spans="1:2" ht="30.75">
      <c r="A14" s="72" t="s">
        <v>81</v>
      </c>
      <c r="B14" s="71"/>
    </row>
    <row r="15" spans="1:2">
      <c r="A15" s="72"/>
      <c r="B15" s="71"/>
    </row>
    <row r="16" spans="1:2" ht="59.25">
      <c r="A16" s="72" t="s">
        <v>82</v>
      </c>
      <c r="B16" s="71"/>
    </row>
    <row r="17" spans="1:2">
      <c r="A17" s="72"/>
      <c r="B17" s="71"/>
    </row>
    <row r="18" spans="1:2">
      <c r="A18" s="72" t="s">
        <v>83</v>
      </c>
      <c r="B18" s="71"/>
    </row>
    <row r="19" spans="1:2">
      <c r="A19" s="72"/>
      <c r="B19" s="71"/>
    </row>
    <row r="20" spans="1:2" ht="30.75">
      <c r="A20" s="72" t="s">
        <v>84</v>
      </c>
      <c r="B20" s="71"/>
    </row>
    <row r="21" spans="1:2">
      <c r="A21" s="72"/>
      <c r="B21" s="71"/>
    </row>
    <row r="22" spans="1:2" ht="45">
      <c r="A22" s="72" t="s">
        <v>85</v>
      </c>
      <c r="B22" s="71"/>
    </row>
    <row r="23" spans="1:2">
      <c r="A23" s="72"/>
      <c r="B23" s="71"/>
    </row>
    <row r="24" spans="1:2" ht="59.25">
      <c r="A24" s="72" t="s">
        <v>86</v>
      </c>
      <c r="B24" s="71"/>
    </row>
    <row r="25" spans="1:2">
      <c r="A25" s="72"/>
      <c r="B25" s="71"/>
    </row>
    <row r="26" spans="1:2">
      <c r="A26" s="73" t="s">
        <v>87</v>
      </c>
      <c r="B26" s="71"/>
    </row>
    <row r="27" spans="1:2">
      <c r="A27" s="72"/>
      <c r="B27" s="71"/>
    </row>
    <row r="28" spans="1:2">
      <c r="A28" s="74"/>
      <c r="B28" s="75"/>
    </row>
    <row r="29" spans="1:2">
      <c r="A29" s="76"/>
    </row>
    <row r="30" spans="1:2">
      <c r="A30" s="76"/>
    </row>
    <row r="31" spans="1:2">
      <c r="A31" s="76"/>
    </row>
    <row r="32" spans="1:2">
      <c r="A32" s="76"/>
    </row>
    <row r="33" spans="1:1">
      <c r="A33" s="77"/>
    </row>
    <row r="34" spans="1:1">
      <c r="A34" s="77"/>
    </row>
    <row r="35" spans="1:1">
      <c r="A35" s="77"/>
    </row>
    <row r="36" spans="1:1">
      <c r="A36" s="77"/>
    </row>
    <row r="37" spans="1:1">
      <c r="A37" s="77"/>
    </row>
    <row r="38" spans="1:1">
      <c r="A38" s="77"/>
    </row>
    <row r="39" spans="1:1">
      <c r="A39" s="77"/>
    </row>
    <row r="40" spans="1:1">
      <c r="A40" s="77"/>
    </row>
    <row r="41" spans="1:1">
      <c r="A41" s="77"/>
    </row>
    <row r="42" spans="1:1">
      <c r="A42" s="77"/>
    </row>
    <row r="43" spans="1:1">
      <c r="A43" s="77"/>
    </row>
    <row r="44" spans="1:1">
      <c r="A44" s="77"/>
    </row>
    <row r="45" spans="1:1">
      <c r="A45" s="77"/>
    </row>
    <row r="46" spans="1:1">
      <c r="A46" s="77"/>
    </row>
    <row r="47" spans="1:1">
      <c r="A47" s="77"/>
    </row>
    <row r="48" spans="1:1">
      <c r="A48" s="77"/>
    </row>
    <row r="49" spans="1:1">
      <c r="A49" s="77"/>
    </row>
    <row r="50" spans="1:1">
      <c r="A50" s="77"/>
    </row>
    <row r="51" spans="1:1">
      <c r="A51" s="77"/>
    </row>
    <row r="52" spans="1:1">
      <c r="A52" s="77"/>
    </row>
    <row r="53" spans="1:1">
      <c r="A53" s="77"/>
    </row>
    <row r="54" spans="1:1">
      <c r="A54" s="77"/>
    </row>
    <row r="55" spans="1:1">
      <c r="A55" s="77"/>
    </row>
    <row r="56" spans="1:1">
      <c r="A56" s="77"/>
    </row>
    <row r="57" spans="1:1">
      <c r="A57" s="77"/>
    </row>
    <row r="58" spans="1:1">
      <c r="A58" s="77"/>
    </row>
    <row r="59" spans="1:1">
      <c r="A59" s="77"/>
    </row>
    <row r="60" spans="1:1">
      <c r="A60" s="77"/>
    </row>
    <row r="61" spans="1:1">
      <c r="A61" s="77"/>
    </row>
    <row r="62" spans="1:1">
      <c r="A62" s="77"/>
    </row>
    <row r="63" spans="1:1">
      <c r="A63" s="77"/>
    </row>
    <row r="64" spans="1:1">
      <c r="A64" s="77"/>
    </row>
    <row r="65" spans="1:1">
      <c r="A65" s="77"/>
    </row>
    <row r="66" spans="1:1">
      <c r="A66" s="77"/>
    </row>
    <row r="67" spans="1:1">
      <c r="A67" s="77"/>
    </row>
    <row r="68" spans="1:1">
      <c r="A68" s="77"/>
    </row>
    <row r="69" spans="1:1">
      <c r="A69" s="77"/>
    </row>
    <row r="70" spans="1:1">
      <c r="A70" s="77"/>
    </row>
    <row r="71" spans="1:1">
      <c r="A71" s="77"/>
    </row>
    <row r="72" spans="1:1">
      <c r="A72" s="77"/>
    </row>
    <row r="73" spans="1:1">
      <c r="A73" s="77"/>
    </row>
    <row r="74" spans="1:1">
      <c r="A74" s="77"/>
    </row>
    <row r="75" spans="1:1">
      <c r="A75" s="77"/>
    </row>
    <row r="76" spans="1:1">
      <c r="A76" s="77"/>
    </row>
    <row r="77" spans="1:1">
      <c r="A77" s="77"/>
    </row>
    <row r="78" spans="1:1">
      <c r="A78" s="77"/>
    </row>
    <row r="79" spans="1:1">
      <c r="A79" s="77"/>
    </row>
    <row r="80" spans="1:1">
      <c r="A80" s="77"/>
    </row>
    <row r="81" spans="1:1">
      <c r="A81" s="77"/>
    </row>
    <row r="82" spans="1:1">
      <c r="A82" s="77"/>
    </row>
    <row r="83" spans="1:1">
      <c r="A83" s="77"/>
    </row>
    <row r="84" spans="1:1">
      <c r="A84" s="77"/>
    </row>
    <row r="85" spans="1:1">
      <c r="A85" s="77"/>
    </row>
    <row r="86" spans="1:1">
      <c r="A86" s="77"/>
    </row>
    <row r="87" spans="1:1">
      <c r="A87" s="77"/>
    </row>
    <row r="88" spans="1:1">
      <c r="A88" s="77"/>
    </row>
    <row r="89" spans="1:1">
      <c r="A89" s="77"/>
    </row>
    <row r="90" spans="1:1">
      <c r="A90" s="77"/>
    </row>
    <row r="91" spans="1:1">
      <c r="A91" s="77"/>
    </row>
    <row r="92" spans="1:1">
      <c r="A92" s="77"/>
    </row>
    <row r="93" spans="1:1">
      <c r="A93" s="77"/>
    </row>
    <row r="94" spans="1:1">
      <c r="A94" s="77"/>
    </row>
    <row r="95" spans="1:1">
      <c r="A95" s="77"/>
    </row>
    <row r="96" spans="1:1">
      <c r="A96" s="77"/>
    </row>
    <row r="97" spans="1:1">
      <c r="A97" s="77"/>
    </row>
    <row r="98" spans="1:1">
      <c r="A98" s="77"/>
    </row>
    <row r="99" spans="1:1">
      <c r="A99" s="77"/>
    </row>
    <row r="100" spans="1:1">
      <c r="A100" s="77"/>
    </row>
    <row r="101" spans="1:1">
      <c r="A101" s="77"/>
    </row>
    <row r="102" spans="1:1">
      <c r="A102" s="77"/>
    </row>
    <row r="103" spans="1:1">
      <c r="A103" s="77"/>
    </row>
    <row r="104" spans="1:1">
      <c r="A104" s="77"/>
    </row>
    <row r="105" spans="1:1">
      <c r="A105" s="77"/>
    </row>
    <row r="106" spans="1:1">
      <c r="A106" s="77"/>
    </row>
    <row r="107" spans="1:1">
      <c r="A107" s="77"/>
    </row>
    <row r="108" spans="1:1">
      <c r="A108" s="77"/>
    </row>
    <row r="109" spans="1:1">
      <c r="A109" s="77"/>
    </row>
    <row r="110" spans="1:1">
      <c r="A110" s="77"/>
    </row>
    <row r="111" spans="1:1">
      <c r="A111" s="77"/>
    </row>
    <row r="112" spans="1:1">
      <c r="A112" s="77"/>
    </row>
    <row r="113" spans="1:1">
      <c r="A113" s="77"/>
    </row>
    <row r="114" spans="1:1">
      <c r="A114" s="77"/>
    </row>
    <row r="115" spans="1:1">
      <c r="A115" s="77"/>
    </row>
    <row r="116" spans="1:1">
      <c r="A116" s="77"/>
    </row>
    <row r="117" spans="1:1">
      <c r="A117" s="77"/>
    </row>
    <row r="118" spans="1:1">
      <c r="A118" s="77"/>
    </row>
    <row r="119" spans="1:1">
      <c r="A119" s="77"/>
    </row>
    <row r="120" spans="1:1">
      <c r="A120" s="77"/>
    </row>
    <row r="121" spans="1:1">
      <c r="A121" s="77"/>
    </row>
    <row r="122" spans="1:1">
      <c r="A122" s="77"/>
    </row>
    <row r="123" spans="1:1">
      <c r="A123" s="77"/>
    </row>
    <row r="124" spans="1:1">
      <c r="A124" s="77"/>
    </row>
    <row r="125" spans="1:1">
      <c r="A125" s="77"/>
    </row>
    <row r="126" spans="1:1">
      <c r="A126" s="77"/>
    </row>
    <row r="127" spans="1:1">
      <c r="A127" s="77"/>
    </row>
    <row r="128" spans="1:1">
      <c r="A128" s="77"/>
    </row>
    <row r="129" spans="1:1">
      <c r="A129" s="77"/>
    </row>
    <row r="130" spans="1:1">
      <c r="A130" s="77"/>
    </row>
    <row r="131" spans="1:1">
      <c r="A131" s="77"/>
    </row>
    <row r="132" spans="1:1">
      <c r="A132" s="77"/>
    </row>
    <row r="133" spans="1:1">
      <c r="A133" s="77"/>
    </row>
    <row r="134" spans="1:1">
      <c r="A134" s="77"/>
    </row>
    <row r="135" spans="1:1">
      <c r="A135" s="77"/>
    </row>
    <row r="136" spans="1:1">
      <c r="A136" s="77"/>
    </row>
    <row r="137" spans="1:1">
      <c r="A137" s="77"/>
    </row>
    <row r="138" spans="1:1">
      <c r="A138" s="77"/>
    </row>
    <row r="139" spans="1:1">
      <c r="A139" s="77"/>
    </row>
    <row r="140" spans="1:1">
      <c r="A140" s="77"/>
    </row>
    <row r="141" spans="1:1">
      <c r="A141" s="77"/>
    </row>
    <row r="142" spans="1:1">
      <c r="A142" s="77"/>
    </row>
    <row r="143" spans="1:1">
      <c r="A143" s="77"/>
    </row>
    <row r="144" spans="1:1">
      <c r="A144" s="77"/>
    </row>
    <row r="145" spans="1:1">
      <c r="A145" s="77"/>
    </row>
    <row r="146" spans="1:1">
      <c r="A146" s="77"/>
    </row>
    <row r="147" spans="1:1">
      <c r="A147" s="77"/>
    </row>
    <row r="148" spans="1:1">
      <c r="A148" s="77"/>
    </row>
    <row r="149" spans="1:1">
      <c r="A149" s="77"/>
    </row>
    <row r="150" spans="1:1">
      <c r="A150" s="77"/>
    </row>
    <row r="151" spans="1:1">
      <c r="A151" s="77"/>
    </row>
    <row r="152" spans="1:1">
      <c r="A152" s="77"/>
    </row>
    <row r="153" spans="1:1">
      <c r="A153" s="77"/>
    </row>
    <row r="154" spans="1:1">
      <c r="A154" s="77"/>
    </row>
    <row r="155" spans="1:1">
      <c r="A155" s="77"/>
    </row>
    <row r="156" spans="1:1">
      <c r="A156" s="77"/>
    </row>
    <row r="157" spans="1:1">
      <c r="A157" s="77"/>
    </row>
    <row r="158" spans="1:1">
      <c r="A158" s="77"/>
    </row>
    <row r="159" spans="1:1">
      <c r="A159" s="77"/>
    </row>
    <row r="160" spans="1:1">
      <c r="A160" s="77"/>
    </row>
    <row r="161" spans="1:1">
      <c r="A161" s="77"/>
    </row>
    <row r="162" spans="1:1">
      <c r="A162" s="77"/>
    </row>
    <row r="163" spans="1:1">
      <c r="A163" s="77"/>
    </row>
    <row r="164" spans="1:1">
      <c r="A164" s="77"/>
    </row>
    <row r="165" spans="1:1">
      <c r="A165" s="77"/>
    </row>
    <row r="166" spans="1:1">
      <c r="A166" s="77"/>
    </row>
    <row r="167" spans="1:1">
      <c r="A167" s="77"/>
    </row>
    <row r="168" spans="1:1">
      <c r="A168" s="77"/>
    </row>
    <row r="169" spans="1:1">
      <c r="A169" s="77"/>
    </row>
    <row r="170" spans="1:1">
      <c r="A170" s="77"/>
    </row>
    <row r="171" spans="1:1">
      <c r="A171" s="77"/>
    </row>
    <row r="172" spans="1:1">
      <c r="A172" s="77"/>
    </row>
    <row r="173" spans="1:1">
      <c r="A173" s="77"/>
    </row>
    <row r="174" spans="1:1">
      <c r="A174" s="77"/>
    </row>
    <row r="175" spans="1:1">
      <c r="A175" s="77"/>
    </row>
    <row r="176" spans="1:1">
      <c r="A176" s="77"/>
    </row>
    <row r="177" spans="1:1">
      <c r="A177" s="77"/>
    </row>
    <row r="178" spans="1:1">
      <c r="A178" s="77"/>
    </row>
    <row r="179" spans="1:1">
      <c r="A179" s="77"/>
    </row>
    <row r="180" spans="1:1">
      <c r="A180" s="77"/>
    </row>
    <row r="181" spans="1:1">
      <c r="A181" s="77"/>
    </row>
    <row r="182" spans="1:1">
      <c r="A182" s="77"/>
    </row>
    <row r="183" spans="1:1">
      <c r="A183" s="77"/>
    </row>
    <row r="184" spans="1:1">
      <c r="A184" s="77"/>
    </row>
    <row r="185" spans="1:1">
      <c r="A185" s="77"/>
    </row>
    <row r="186" spans="1:1">
      <c r="A186" s="77"/>
    </row>
    <row r="187" spans="1:1">
      <c r="A187" s="77"/>
    </row>
    <row r="188" spans="1:1">
      <c r="A188" s="77"/>
    </row>
    <row r="189" spans="1:1">
      <c r="A189" s="77"/>
    </row>
    <row r="190" spans="1:1">
      <c r="A190" s="77"/>
    </row>
    <row r="191" spans="1:1">
      <c r="A191" s="77"/>
    </row>
    <row r="192" spans="1:1">
      <c r="A192" s="77"/>
    </row>
    <row r="193" spans="1:1">
      <c r="A193" s="77"/>
    </row>
    <row r="194" spans="1:1">
      <c r="A194" s="77"/>
    </row>
    <row r="195" spans="1:1">
      <c r="A195" s="77"/>
    </row>
    <row r="196" spans="1:1">
      <c r="A196" s="77"/>
    </row>
    <row r="197" spans="1:1">
      <c r="A197" s="77"/>
    </row>
    <row r="198" spans="1:1">
      <c r="A198" s="77"/>
    </row>
    <row r="199" spans="1:1">
      <c r="A199" s="77"/>
    </row>
    <row r="200" spans="1:1">
      <c r="A200" s="77"/>
    </row>
    <row r="201" spans="1:1">
      <c r="A201" s="77"/>
    </row>
    <row r="202" spans="1:1">
      <c r="A202" s="77"/>
    </row>
    <row r="203" spans="1:1">
      <c r="A203" s="77"/>
    </row>
    <row r="204" spans="1:1">
      <c r="A204" s="77"/>
    </row>
    <row r="205" spans="1:1">
      <c r="A205" s="77"/>
    </row>
    <row r="206" spans="1:1">
      <c r="A206" s="77"/>
    </row>
    <row r="207" spans="1:1">
      <c r="A207" s="77"/>
    </row>
    <row r="208" spans="1:1">
      <c r="A208" s="77"/>
    </row>
    <row r="209" spans="1:1">
      <c r="A209" s="77"/>
    </row>
    <row r="210" spans="1:1">
      <c r="A210" s="77"/>
    </row>
    <row r="211" spans="1:1">
      <c r="A211" s="77"/>
    </row>
    <row r="212" spans="1:1">
      <c r="A212" s="77"/>
    </row>
    <row r="213" spans="1:1">
      <c r="A213" s="77"/>
    </row>
    <row r="214" spans="1:1">
      <c r="A214" s="77"/>
    </row>
    <row r="215" spans="1:1">
      <c r="A215" s="77"/>
    </row>
    <row r="216" spans="1:1">
      <c r="A216" s="77"/>
    </row>
    <row r="217" spans="1:1">
      <c r="A217" s="77"/>
    </row>
    <row r="218" spans="1:1">
      <c r="A218" s="77"/>
    </row>
    <row r="219" spans="1:1">
      <c r="A219" s="77"/>
    </row>
    <row r="220" spans="1:1">
      <c r="A220" s="77"/>
    </row>
    <row r="221" spans="1:1">
      <c r="A221" s="77"/>
    </row>
    <row r="222" spans="1:1">
      <c r="A222" s="77"/>
    </row>
    <row r="223" spans="1:1">
      <c r="A223" s="77"/>
    </row>
    <row r="224" spans="1:1">
      <c r="A224" s="77"/>
    </row>
    <row r="225" spans="1:1">
      <c r="A225" s="77"/>
    </row>
    <row r="226" spans="1:1">
      <c r="A226" s="77"/>
    </row>
    <row r="227" spans="1:1">
      <c r="A227" s="77"/>
    </row>
    <row r="228" spans="1:1">
      <c r="A228" s="77"/>
    </row>
    <row r="229" spans="1:1">
      <c r="A229" s="77"/>
    </row>
    <row r="230" spans="1:1">
      <c r="A230" s="77"/>
    </row>
    <row r="231" spans="1:1">
      <c r="A231" s="77"/>
    </row>
    <row r="232" spans="1:1">
      <c r="A232" s="77"/>
    </row>
    <row r="233" spans="1:1">
      <c r="A233" s="77"/>
    </row>
    <row r="234" spans="1:1">
      <c r="A234" s="77"/>
    </row>
    <row r="235" spans="1:1">
      <c r="A235" s="77"/>
    </row>
    <row r="236" spans="1:1">
      <c r="A236" s="77"/>
    </row>
    <row r="237" spans="1:1">
      <c r="A237" s="77"/>
    </row>
    <row r="238" spans="1:1">
      <c r="A238" s="77"/>
    </row>
    <row r="239" spans="1:1">
      <c r="A239" s="77"/>
    </row>
    <row r="240" spans="1:1">
      <c r="A240" s="77"/>
    </row>
    <row r="241" spans="1:1">
      <c r="A241" s="77"/>
    </row>
    <row r="242" spans="1:1">
      <c r="A242" s="77"/>
    </row>
    <row r="243" spans="1:1">
      <c r="A243" s="77"/>
    </row>
    <row r="244" spans="1:1">
      <c r="A244" s="77"/>
    </row>
    <row r="245" spans="1:1">
      <c r="A245" s="77"/>
    </row>
    <row r="246" spans="1:1">
      <c r="A246" s="77"/>
    </row>
    <row r="247" spans="1:1">
      <c r="A247" s="77"/>
    </row>
    <row r="248" spans="1:1">
      <c r="A248" s="77"/>
    </row>
    <row r="249" spans="1:1">
      <c r="A249" s="77"/>
    </row>
    <row r="250" spans="1:1">
      <c r="A250" s="77"/>
    </row>
    <row r="251" spans="1:1">
      <c r="A251" s="77"/>
    </row>
    <row r="252" spans="1:1">
      <c r="A252" s="77"/>
    </row>
    <row r="253" spans="1:1">
      <c r="A253" s="77"/>
    </row>
    <row r="254" spans="1:1">
      <c r="A254" s="77"/>
    </row>
    <row r="255" spans="1:1">
      <c r="A255" s="77"/>
    </row>
    <row r="256" spans="1:1">
      <c r="A256" s="77"/>
    </row>
    <row r="257" spans="1:1">
      <c r="A257" s="77"/>
    </row>
    <row r="258" spans="1:1">
      <c r="A258" s="77"/>
    </row>
    <row r="259" spans="1:1">
      <c r="A259" s="77"/>
    </row>
    <row r="260" spans="1:1">
      <c r="A260" s="77"/>
    </row>
    <row r="261" spans="1:1">
      <c r="A261" s="77"/>
    </row>
    <row r="262" spans="1:1">
      <c r="A262" s="77"/>
    </row>
    <row r="263" spans="1:1">
      <c r="A263" s="77"/>
    </row>
    <row r="264" spans="1:1">
      <c r="A264" s="77"/>
    </row>
    <row r="265" spans="1:1">
      <c r="A265" s="77"/>
    </row>
    <row r="266" spans="1:1">
      <c r="A266" s="77"/>
    </row>
    <row r="267" spans="1:1">
      <c r="A267" s="77"/>
    </row>
    <row r="268" spans="1:1">
      <c r="A268" s="77"/>
    </row>
    <row r="269" spans="1:1">
      <c r="A269" s="77"/>
    </row>
    <row r="270" spans="1:1">
      <c r="A270" s="77"/>
    </row>
    <row r="271" spans="1:1">
      <c r="A271" s="77"/>
    </row>
    <row r="272" spans="1:1">
      <c r="A272" s="77"/>
    </row>
    <row r="273" spans="1:1">
      <c r="A273" s="77"/>
    </row>
    <row r="274" spans="1:1">
      <c r="A274" s="77"/>
    </row>
    <row r="275" spans="1:1">
      <c r="A275" s="77"/>
    </row>
    <row r="276" spans="1:1">
      <c r="A276" s="77"/>
    </row>
    <row r="277" spans="1:1">
      <c r="A277" s="77"/>
    </row>
    <row r="278" spans="1:1">
      <c r="A278" s="77"/>
    </row>
    <row r="279" spans="1:1">
      <c r="A279" s="77"/>
    </row>
    <row r="280" spans="1:1">
      <c r="A280" s="77"/>
    </row>
    <row r="281" spans="1:1">
      <c r="A281" s="77"/>
    </row>
    <row r="282" spans="1:1">
      <c r="A282" s="77"/>
    </row>
    <row r="283" spans="1:1">
      <c r="A283" s="77"/>
    </row>
    <row r="284" spans="1:1">
      <c r="A284" s="77"/>
    </row>
    <row r="285" spans="1:1">
      <c r="A285" s="77"/>
    </row>
    <row r="286" spans="1:1">
      <c r="A286" s="77"/>
    </row>
    <row r="287" spans="1:1">
      <c r="A287" s="77"/>
    </row>
    <row r="288" spans="1:1">
      <c r="A288" s="77"/>
    </row>
    <row r="289" spans="1:1">
      <c r="A289" s="77"/>
    </row>
    <row r="290" spans="1:1">
      <c r="A290" s="77"/>
    </row>
    <row r="291" spans="1:1">
      <c r="A291" s="77"/>
    </row>
    <row r="292" spans="1:1">
      <c r="A292" s="77"/>
    </row>
    <row r="293" spans="1:1">
      <c r="A293" s="77"/>
    </row>
    <row r="294" spans="1:1">
      <c r="A294" s="77"/>
    </row>
    <row r="295" spans="1:1">
      <c r="A295" s="77"/>
    </row>
    <row r="296" spans="1:1">
      <c r="A296" s="77"/>
    </row>
    <row r="297" spans="1:1">
      <c r="A297" s="77"/>
    </row>
    <row r="298" spans="1:1">
      <c r="A298" s="77"/>
    </row>
    <row r="299" spans="1:1">
      <c r="A299" s="77"/>
    </row>
    <row r="300" spans="1:1">
      <c r="A300" s="77"/>
    </row>
    <row r="301" spans="1:1">
      <c r="A301" s="77"/>
    </row>
    <row r="302" spans="1:1">
      <c r="A302" s="77"/>
    </row>
    <row r="303" spans="1:1">
      <c r="A303" s="77"/>
    </row>
    <row r="304" spans="1:1">
      <c r="A304" s="77"/>
    </row>
    <row r="305" spans="1:1">
      <c r="A305" s="77"/>
    </row>
    <row r="306" spans="1:1">
      <c r="A306" s="77"/>
    </row>
    <row r="307" spans="1:1">
      <c r="A307" s="77"/>
    </row>
    <row r="308" spans="1:1">
      <c r="A308" s="77"/>
    </row>
    <row r="309" spans="1:1">
      <c r="A309" s="77"/>
    </row>
    <row r="310" spans="1:1">
      <c r="A310" s="77"/>
    </row>
    <row r="311" spans="1:1">
      <c r="A311" s="77"/>
    </row>
    <row r="312" spans="1:1">
      <c r="A312" s="77"/>
    </row>
    <row r="313" spans="1:1">
      <c r="A313" s="77"/>
    </row>
    <row r="314" spans="1:1">
      <c r="A314" s="77"/>
    </row>
    <row r="315" spans="1:1">
      <c r="A315" s="77"/>
    </row>
    <row r="316" spans="1:1">
      <c r="A316" s="77"/>
    </row>
    <row r="317" spans="1:1">
      <c r="A317" s="77"/>
    </row>
    <row r="318" spans="1:1">
      <c r="A318" s="77"/>
    </row>
    <row r="319" spans="1:1">
      <c r="A319" s="77"/>
    </row>
    <row r="320" spans="1:1">
      <c r="A320" s="77"/>
    </row>
    <row r="321" spans="1:1">
      <c r="A321" s="77"/>
    </row>
    <row r="322" spans="1:1">
      <c r="A322" s="77"/>
    </row>
    <row r="323" spans="1:1">
      <c r="A323" s="77"/>
    </row>
    <row r="324" spans="1:1">
      <c r="A324" s="77"/>
    </row>
    <row r="325" spans="1:1">
      <c r="A325" s="77"/>
    </row>
    <row r="326" spans="1:1">
      <c r="A326" s="77"/>
    </row>
    <row r="327" spans="1:1">
      <c r="A327" s="77"/>
    </row>
    <row r="328" spans="1:1">
      <c r="A328" s="77"/>
    </row>
    <row r="329" spans="1:1">
      <c r="A329" s="77"/>
    </row>
    <row r="330" spans="1:1">
      <c r="A330" s="77"/>
    </row>
    <row r="331" spans="1:1">
      <c r="A331" s="77"/>
    </row>
    <row r="332" spans="1:1">
      <c r="A332" s="77"/>
    </row>
    <row r="333" spans="1:1">
      <c r="A333" s="77"/>
    </row>
    <row r="334" spans="1:1">
      <c r="A334" s="77"/>
    </row>
    <row r="335" spans="1:1">
      <c r="A335" s="77"/>
    </row>
    <row r="336" spans="1:1">
      <c r="A336" s="77"/>
    </row>
    <row r="337" spans="1:1">
      <c r="A337" s="77"/>
    </row>
    <row r="338" spans="1:1">
      <c r="A338" s="77"/>
    </row>
    <row r="339" spans="1:1">
      <c r="A339" s="77"/>
    </row>
    <row r="340" spans="1:1">
      <c r="A340" s="77"/>
    </row>
    <row r="341" spans="1:1">
      <c r="A341" s="77"/>
    </row>
    <row r="342" spans="1:1">
      <c r="A342" s="77"/>
    </row>
    <row r="343" spans="1:1">
      <c r="A343" s="77"/>
    </row>
    <row r="344" spans="1:1">
      <c r="A344" s="77"/>
    </row>
    <row r="345" spans="1:1">
      <c r="A345" s="77"/>
    </row>
    <row r="346" spans="1:1">
      <c r="A346" s="77"/>
    </row>
    <row r="347" spans="1:1">
      <c r="A347" s="77"/>
    </row>
    <row r="348" spans="1:1">
      <c r="A348" s="77"/>
    </row>
    <row r="349" spans="1:1">
      <c r="A349" s="77"/>
    </row>
    <row r="350" spans="1:1">
      <c r="A350" s="77"/>
    </row>
    <row r="351" spans="1:1">
      <c r="A351" s="77"/>
    </row>
    <row r="352" spans="1:1">
      <c r="A352" s="77"/>
    </row>
    <row r="353" spans="1:1">
      <c r="A353" s="77"/>
    </row>
    <row r="354" spans="1:1">
      <c r="A354" s="77"/>
    </row>
    <row r="355" spans="1:1">
      <c r="A355" s="77"/>
    </row>
    <row r="356" spans="1:1">
      <c r="A356" s="77"/>
    </row>
    <row r="357" spans="1:1">
      <c r="A357" s="77"/>
    </row>
    <row r="358" spans="1:1">
      <c r="A358" s="77"/>
    </row>
    <row r="359" spans="1:1">
      <c r="A359" s="77"/>
    </row>
    <row r="360" spans="1:1">
      <c r="A360" s="77"/>
    </row>
    <row r="361" spans="1:1">
      <c r="A361" s="77"/>
    </row>
    <row r="362" spans="1:1">
      <c r="A362" s="77"/>
    </row>
    <row r="363" spans="1:1">
      <c r="A363" s="77"/>
    </row>
    <row r="364" spans="1:1">
      <c r="A364" s="77"/>
    </row>
    <row r="365" spans="1:1">
      <c r="A365" s="77"/>
    </row>
    <row r="366" spans="1:1">
      <c r="A366" s="77"/>
    </row>
    <row r="367" spans="1:1">
      <c r="A367" s="77"/>
    </row>
    <row r="368" spans="1:1">
      <c r="A368" s="77"/>
    </row>
    <row r="369" spans="1:1">
      <c r="A369" s="77"/>
    </row>
    <row r="370" spans="1:1">
      <c r="A370" s="77"/>
    </row>
    <row r="371" spans="1:1">
      <c r="A371" s="77"/>
    </row>
    <row r="372" spans="1:1">
      <c r="A372" s="77"/>
    </row>
    <row r="373" spans="1:1">
      <c r="A373" s="77"/>
    </row>
    <row r="374" spans="1:1">
      <c r="A374" s="77"/>
    </row>
    <row r="375" spans="1:1">
      <c r="A375" s="77"/>
    </row>
    <row r="376" spans="1:1">
      <c r="A376" s="77"/>
    </row>
    <row r="377" spans="1:1">
      <c r="A377" s="77"/>
    </row>
    <row r="378" spans="1:1">
      <c r="A378" s="77"/>
    </row>
    <row r="379" spans="1:1">
      <c r="A379" s="77"/>
    </row>
    <row r="380" spans="1:1">
      <c r="A380" s="77"/>
    </row>
    <row r="381" spans="1:1">
      <c r="A381" s="77"/>
    </row>
    <row r="382" spans="1:1">
      <c r="A382" s="77"/>
    </row>
    <row r="383" spans="1:1">
      <c r="A383" s="77"/>
    </row>
    <row r="384" spans="1:1">
      <c r="A384" s="77"/>
    </row>
    <row r="385" spans="1:1">
      <c r="A385" s="77"/>
    </row>
    <row r="386" spans="1:1">
      <c r="A386" s="77"/>
    </row>
    <row r="387" spans="1:1">
      <c r="A387" s="77"/>
    </row>
    <row r="388" spans="1:1">
      <c r="A388" s="77"/>
    </row>
    <row r="389" spans="1:1">
      <c r="A389" s="77"/>
    </row>
    <row r="390" spans="1:1">
      <c r="A390" s="77"/>
    </row>
    <row r="391" spans="1:1">
      <c r="A391" s="77"/>
    </row>
    <row r="392" spans="1:1">
      <c r="A392" s="77"/>
    </row>
    <row r="393" spans="1:1">
      <c r="A393" s="77"/>
    </row>
    <row r="394" spans="1:1">
      <c r="A394" s="77"/>
    </row>
    <row r="395" spans="1:1">
      <c r="A395" s="77"/>
    </row>
    <row r="396" spans="1:1">
      <c r="A396" s="77"/>
    </row>
    <row r="397" spans="1:1">
      <c r="A397" s="77"/>
    </row>
    <row r="398" spans="1:1">
      <c r="A398" s="77"/>
    </row>
    <row r="399" spans="1:1">
      <c r="A399" s="77"/>
    </row>
    <row r="400" spans="1:1">
      <c r="A400" s="77"/>
    </row>
    <row r="401" spans="1:1">
      <c r="A401" s="77"/>
    </row>
    <row r="402" spans="1:1">
      <c r="A402" s="77"/>
    </row>
    <row r="403" spans="1:1">
      <c r="A403" s="77"/>
    </row>
    <row r="404" spans="1:1">
      <c r="A404" s="77"/>
    </row>
    <row r="405" spans="1:1">
      <c r="A405" s="77"/>
    </row>
    <row r="406" spans="1:1">
      <c r="A406" s="77"/>
    </row>
    <row r="407" spans="1:1">
      <c r="A407" s="77"/>
    </row>
    <row r="408" spans="1:1">
      <c r="A408" s="77"/>
    </row>
    <row r="409" spans="1:1">
      <c r="A409" s="77"/>
    </row>
    <row r="410" spans="1:1">
      <c r="A410" s="77"/>
    </row>
    <row r="411" spans="1:1">
      <c r="A411" s="77"/>
    </row>
    <row r="412" spans="1:1">
      <c r="A412" s="77"/>
    </row>
    <row r="413" spans="1:1">
      <c r="A413" s="77"/>
    </row>
    <row r="414" spans="1:1">
      <c r="A414" s="77"/>
    </row>
    <row r="415" spans="1:1">
      <c r="A415" s="77"/>
    </row>
    <row r="416" spans="1:1">
      <c r="A416" s="77"/>
    </row>
    <row r="417" spans="1:1">
      <c r="A417" s="77"/>
    </row>
    <row r="418" spans="1:1">
      <c r="A418" s="77"/>
    </row>
    <row r="419" spans="1:1">
      <c r="A419" s="77"/>
    </row>
    <row r="420" spans="1:1">
      <c r="A420" s="77"/>
    </row>
    <row r="421" spans="1:1">
      <c r="A421" s="77"/>
    </row>
    <row r="422" spans="1:1">
      <c r="A422" s="77"/>
    </row>
    <row r="423" spans="1:1">
      <c r="A423" s="77"/>
    </row>
    <row r="424" spans="1:1">
      <c r="A424" s="77"/>
    </row>
    <row r="425" spans="1:1">
      <c r="A425" s="77"/>
    </row>
    <row r="426" spans="1:1">
      <c r="A426" s="77"/>
    </row>
    <row r="427" spans="1:1">
      <c r="A427" s="77"/>
    </row>
    <row r="428" spans="1:1">
      <c r="A428" s="77"/>
    </row>
    <row r="429" spans="1:1">
      <c r="A429" s="77"/>
    </row>
    <row r="430" spans="1:1">
      <c r="A430" s="77"/>
    </row>
    <row r="431" spans="1:1">
      <c r="A431" s="77"/>
    </row>
    <row r="432" spans="1:1">
      <c r="A432" s="77"/>
    </row>
    <row r="433" spans="1:1">
      <c r="A433" s="77"/>
    </row>
    <row r="434" spans="1:1">
      <c r="A434" s="77"/>
    </row>
    <row r="435" spans="1:1">
      <c r="A435" s="77"/>
    </row>
    <row r="436" spans="1:1">
      <c r="A436" s="77"/>
    </row>
    <row r="437" spans="1:1">
      <c r="A437" s="77"/>
    </row>
    <row r="438" spans="1:1">
      <c r="A438" s="77"/>
    </row>
    <row r="439" spans="1:1">
      <c r="A439" s="77"/>
    </row>
    <row r="440" spans="1:1">
      <c r="A440" s="77"/>
    </row>
    <row r="441" spans="1:1">
      <c r="A441" s="77"/>
    </row>
    <row r="442" spans="1:1">
      <c r="A442" s="77"/>
    </row>
    <row r="443" spans="1:1">
      <c r="A443" s="77"/>
    </row>
    <row r="444" spans="1:1">
      <c r="A444" s="77"/>
    </row>
    <row r="445" spans="1:1">
      <c r="A445" s="77"/>
    </row>
    <row r="446" spans="1:1">
      <c r="A446" s="77"/>
    </row>
    <row r="447" spans="1:1">
      <c r="A447" s="77"/>
    </row>
    <row r="448" spans="1:1">
      <c r="A448" s="77"/>
    </row>
    <row r="449" spans="1:1">
      <c r="A449" s="77"/>
    </row>
    <row r="450" spans="1:1">
      <c r="A450" s="77"/>
    </row>
    <row r="451" spans="1:1">
      <c r="A451" s="77"/>
    </row>
    <row r="452" spans="1:1">
      <c r="A452" s="77"/>
    </row>
    <row r="453" spans="1:1">
      <c r="A453" s="77"/>
    </row>
    <row r="454" spans="1:1">
      <c r="A454" s="77"/>
    </row>
    <row r="455" spans="1:1">
      <c r="A455" s="77"/>
    </row>
    <row r="456" spans="1:1">
      <c r="A456" s="77"/>
    </row>
    <row r="457" spans="1:1">
      <c r="A457" s="77"/>
    </row>
    <row r="458" spans="1:1">
      <c r="A458" s="77"/>
    </row>
    <row r="459" spans="1:1">
      <c r="A459" s="77"/>
    </row>
    <row r="460" spans="1:1">
      <c r="A460" s="77"/>
    </row>
    <row r="461" spans="1:1">
      <c r="A461" s="77"/>
    </row>
    <row r="462" spans="1:1">
      <c r="A462" s="77"/>
    </row>
    <row r="463" spans="1:1">
      <c r="A463" s="77"/>
    </row>
    <row r="464" spans="1:1">
      <c r="A464" s="77"/>
    </row>
    <row r="465" spans="1:1">
      <c r="A465" s="77"/>
    </row>
    <row r="466" spans="1:1">
      <c r="A466" s="77"/>
    </row>
    <row r="467" spans="1:1">
      <c r="A467" s="77"/>
    </row>
    <row r="468" spans="1:1">
      <c r="A468" s="77"/>
    </row>
    <row r="469" spans="1:1">
      <c r="A469" s="77"/>
    </row>
    <row r="470" spans="1:1">
      <c r="A470" s="77"/>
    </row>
    <row r="471" spans="1:1">
      <c r="A471" s="77"/>
    </row>
    <row r="472" spans="1:1">
      <c r="A472" s="77"/>
    </row>
    <row r="473" spans="1:1">
      <c r="A473" s="77"/>
    </row>
    <row r="474" spans="1:1">
      <c r="A474" s="77"/>
    </row>
    <row r="475" spans="1:1">
      <c r="A475" s="77"/>
    </row>
    <row r="476" spans="1:1">
      <c r="A476" s="77"/>
    </row>
    <row r="477" spans="1:1">
      <c r="A477" s="77"/>
    </row>
    <row r="478" spans="1:1">
      <c r="A478" s="77"/>
    </row>
    <row r="479" spans="1:1">
      <c r="A479" s="77"/>
    </row>
    <row r="480" spans="1:1">
      <c r="A480" s="77"/>
    </row>
    <row r="481" spans="1:1">
      <c r="A481" s="77"/>
    </row>
    <row r="482" spans="1:1">
      <c r="A482" s="77"/>
    </row>
    <row r="483" spans="1:1">
      <c r="A483" s="77"/>
    </row>
    <row r="484" spans="1:1">
      <c r="A484" s="77"/>
    </row>
    <row r="485" spans="1:1">
      <c r="A485" s="77"/>
    </row>
    <row r="486" spans="1:1">
      <c r="A486" s="77"/>
    </row>
    <row r="487" spans="1:1">
      <c r="A487" s="77"/>
    </row>
    <row r="488" spans="1:1">
      <c r="A488" s="77"/>
    </row>
    <row r="489" spans="1:1">
      <c r="A489" s="77"/>
    </row>
    <row r="490" spans="1:1">
      <c r="A490" s="77"/>
    </row>
    <row r="491" spans="1:1">
      <c r="A491" s="77"/>
    </row>
    <row r="492" spans="1:1">
      <c r="A492" s="77"/>
    </row>
    <row r="493" spans="1:1">
      <c r="A493" s="77"/>
    </row>
    <row r="494" spans="1:1">
      <c r="A494" s="77"/>
    </row>
    <row r="495" spans="1:1">
      <c r="A495" s="77"/>
    </row>
    <row r="496" spans="1:1">
      <c r="A496" s="77"/>
    </row>
    <row r="497" spans="1:1">
      <c r="A497" s="77"/>
    </row>
    <row r="498" spans="1:1">
      <c r="A498" s="77"/>
    </row>
    <row r="499" spans="1:1">
      <c r="A499" s="77"/>
    </row>
    <row r="500" spans="1:1">
      <c r="A500" s="77"/>
    </row>
    <row r="501" spans="1:1">
      <c r="A501" s="77"/>
    </row>
    <row r="502" spans="1:1">
      <c r="A502" s="77"/>
    </row>
    <row r="503" spans="1:1">
      <c r="A503" s="77"/>
    </row>
    <row r="504" spans="1:1">
      <c r="A504" s="77"/>
    </row>
    <row r="505" spans="1:1">
      <c r="A505" s="77"/>
    </row>
    <row r="506" spans="1:1">
      <c r="A506" s="77"/>
    </row>
    <row r="507" spans="1:1">
      <c r="A507" s="77"/>
    </row>
    <row r="508" spans="1:1">
      <c r="A508" s="77"/>
    </row>
    <row r="509" spans="1:1">
      <c r="A509" s="77"/>
    </row>
    <row r="510" spans="1:1">
      <c r="A510" s="77"/>
    </row>
    <row r="511" spans="1:1">
      <c r="A511" s="77"/>
    </row>
    <row r="512" spans="1:1">
      <c r="A512" s="77"/>
    </row>
    <row r="513" spans="1:1">
      <c r="A513" s="77"/>
    </row>
    <row r="514" spans="1:1">
      <c r="A514" s="77"/>
    </row>
    <row r="515" spans="1:1">
      <c r="A515" s="77"/>
    </row>
    <row r="516" spans="1:1">
      <c r="A516" s="77"/>
    </row>
    <row r="517" spans="1:1">
      <c r="A517" s="77"/>
    </row>
    <row r="518" spans="1:1">
      <c r="A518" s="77"/>
    </row>
    <row r="519" spans="1:1">
      <c r="A519" s="77"/>
    </row>
    <row r="520" spans="1:1">
      <c r="A520" s="77"/>
    </row>
    <row r="521" spans="1:1">
      <c r="A521" s="77"/>
    </row>
    <row r="522" spans="1:1">
      <c r="A522" s="77"/>
    </row>
    <row r="523" spans="1:1">
      <c r="A523" s="77"/>
    </row>
    <row r="524" spans="1:1">
      <c r="A524" s="77"/>
    </row>
    <row r="525" spans="1:1">
      <c r="A525" s="77"/>
    </row>
    <row r="526" spans="1:1">
      <c r="A526" s="77"/>
    </row>
    <row r="527" spans="1:1">
      <c r="A527" s="77"/>
    </row>
    <row r="528" spans="1:1">
      <c r="A528" s="77"/>
    </row>
    <row r="529" spans="1:1">
      <c r="A529" s="77"/>
    </row>
    <row r="530" spans="1:1">
      <c r="A530" s="77"/>
    </row>
    <row r="531" spans="1:1">
      <c r="A531" s="77"/>
    </row>
    <row r="532" spans="1:1">
      <c r="A532" s="77"/>
    </row>
    <row r="533" spans="1:1">
      <c r="A533" s="77"/>
    </row>
    <row r="534" spans="1:1">
      <c r="A534" s="77"/>
    </row>
    <row r="535" spans="1:1">
      <c r="A535" s="77"/>
    </row>
    <row r="536" spans="1:1">
      <c r="A536" s="77"/>
    </row>
    <row r="537" spans="1:1">
      <c r="A537" s="77"/>
    </row>
    <row r="538" spans="1:1">
      <c r="A538" s="77"/>
    </row>
    <row r="539" spans="1:1">
      <c r="A539" s="77"/>
    </row>
    <row r="540" spans="1:1">
      <c r="A540" s="77"/>
    </row>
    <row r="541" spans="1:1">
      <c r="A541" s="77"/>
    </row>
    <row r="542" spans="1:1">
      <c r="A542" s="77"/>
    </row>
    <row r="543" spans="1:1">
      <c r="A543" s="77"/>
    </row>
    <row r="544" spans="1:1">
      <c r="A544" s="77"/>
    </row>
    <row r="545" spans="1:1">
      <c r="A545" s="77"/>
    </row>
    <row r="546" spans="1:1">
      <c r="A546" s="77"/>
    </row>
    <row r="547" spans="1:1">
      <c r="A547" s="77"/>
    </row>
    <row r="548" spans="1:1">
      <c r="A548" s="77"/>
    </row>
    <row r="549" spans="1:1">
      <c r="A549" s="77"/>
    </row>
    <row r="550" spans="1:1">
      <c r="A550" s="77"/>
    </row>
    <row r="551" spans="1:1">
      <c r="A551" s="77"/>
    </row>
    <row r="552" spans="1:1">
      <c r="A552" s="77"/>
    </row>
    <row r="553" spans="1:1">
      <c r="A553" s="77"/>
    </row>
    <row r="554" spans="1:1">
      <c r="A554" s="77"/>
    </row>
    <row r="555" spans="1:1">
      <c r="A555" s="77"/>
    </row>
    <row r="556" spans="1:1">
      <c r="A556" s="77"/>
    </row>
    <row r="557" spans="1:1">
      <c r="A557" s="77"/>
    </row>
    <row r="558" spans="1:1">
      <c r="A558" s="77"/>
    </row>
    <row r="559" spans="1:1">
      <c r="A559" s="77"/>
    </row>
    <row r="560" spans="1:1">
      <c r="A560" s="77"/>
    </row>
    <row r="561" spans="1:1">
      <c r="A561" s="77"/>
    </row>
    <row r="562" spans="1:1">
      <c r="A562" s="77"/>
    </row>
    <row r="563" spans="1:1">
      <c r="A563" s="77"/>
    </row>
    <row r="564" spans="1:1">
      <c r="A564" s="77"/>
    </row>
    <row r="565" spans="1:1">
      <c r="A565" s="77"/>
    </row>
    <row r="566" spans="1:1">
      <c r="A566" s="77"/>
    </row>
    <row r="567" spans="1:1">
      <c r="A567" s="77"/>
    </row>
    <row r="568" spans="1:1">
      <c r="A568" s="77"/>
    </row>
    <row r="569" spans="1:1">
      <c r="A569" s="77"/>
    </row>
    <row r="570" spans="1:1">
      <c r="A570" s="77"/>
    </row>
    <row r="571" spans="1:1">
      <c r="A571" s="77"/>
    </row>
    <row r="572" spans="1:1">
      <c r="A572" s="77"/>
    </row>
    <row r="573" spans="1:1">
      <c r="A573" s="77"/>
    </row>
    <row r="574" spans="1:1">
      <c r="A574" s="77"/>
    </row>
    <row r="575" spans="1:1">
      <c r="A575" s="77"/>
    </row>
    <row r="576" spans="1:1">
      <c r="A576" s="77"/>
    </row>
    <row r="577" spans="1:1">
      <c r="A577" s="77"/>
    </row>
    <row r="578" spans="1:1">
      <c r="A578" s="77"/>
    </row>
    <row r="579" spans="1:1">
      <c r="A579" s="77"/>
    </row>
    <row r="580" spans="1:1">
      <c r="A580" s="77"/>
    </row>
    <row r="581" spans="1:1">
      <c r="A581" s="77"/>
    </row>
    <row r="582" spans="1:1">
      <c r="A582" s="77"/>
    </row>
    <row r="583" spans="1:1">
      <c r="A583" s="77"/>
    </row>
    <row r="584" spans="1:1">
      <c r="A584" s="77"/>
    </row>
    <row r="585" spans="1:1">
      <c r="A585" s="77"/>
    </row>
    <row r="586" spans="1:1">
      <c r="A586" s="77"/>
    </row>
    <row r="587" spans="1:1">
      <c r="A587" s="77"/>
    </row>
    <row r="588" spans="1:1">
      <c r="A588" s="77"/>
    </row>
    <row r="589" spans="1:1">
      <c r="A589" s="77"/>
    </row>
    <row r="590" spans="1:1">
      <c r="A590" s="77"/>
    </row>
    <row r="591" spans="1:1">
      <c r="A591" s="77"/>
    </row>
    <row r="592" spans="1:1">
      <c r="A592" s="77"/>
    </row>
    <row r="593" spans="1:1">
      <c r="A593" s="77"/>
    </row>
    <row r="594" spans="1:1">
      <c r="A594" s="77"/>
    </row>
    <row r="595" spans="1:1">
      <c r="A595" s="77"/>
    </row>
    <row r="596" spans="1:1">
      <c r="A596" s="77"/>
    </row>
    <row r="597" spans="1:1">
      <c r="A597" s="77"/>
    </row>
    <row r="598" spans="1:1">
      <c r="A598" s="77"/>
    </row>
    <row r="599" spans="1:1">
      <c r="A599" s="77"/>
    </row>
    <row r="600" spans="1:1">
      <c r="A600" s="77"/>
    </row>
    <row r="601" spans="1:1">
      <c r="A601" s="77"/>
    </row>
    <row r="602" spans="1:1">
      <c r="A602" s="77"/>
    </row>
    <row r="603" spans="1:1">
      <c r="A603" s="77"/>
    </row>
    <row r="604" spans="1:1">
      <c r="A604" s="77"/>
    </row>
    <row r="605" spans="1:1">
      <c r="A605" s="77"/>
    </row>
    <row r="606" spans="1:1">
      <c r="A606" s="77"/>
    </row>
    <row r="607" spans="1:1">
      <c r="A607" s="77"/>
    </row>
    <row r="608" spans="1:1">
      <c r="A608" s="77"/>
    </row>
    <row r="609" spans="1:1">
      <c r="A609" s="77"/>
    </row>
    <row r="610" spans="1:1">
      <c r="A610" s="77"/>
    </row>
    <row r="611" spans="1:1">
      <c r="A611" s="77"/>
    </row>
    <row r="612" spans="1:1">
      <c r="A612" s="77"/>
    </row>
    <row r="613" spans="1:1">
      <c r="A613" s="77"/>
    </row>
    <row r="614" spans="1:1">
      <c r="A614" s="77"/>
    </row>
    <row r="615" spans="1:1">
      <c r="A615" s="77"/>
    </row>
    <row r="616" spans="1:1">
      <c r="A616" s="77"/>
    </row>
    <row r="617" spans="1:1">
      <c r="A617" s="77"/>
    </row>
    <row r="618" spans="1:1">
      <c r="A618" s="77"/>
    </row>
    <row r="619" spans="1:1">
      <c r="A619" s="77"/>
    </row>
    <row r="620" spans="1:1">
      <c r="A620" s="77"/>
    </row>
    <row r="621" spans="1:1">
      <c r="A621" s="77"/>
    </row>
    <row r="622" spans="1:1">
      <c r="A622" s="77"/>
    </row>
    <row r="623" spans="1:1">
      <c r="A623" s="77"/>
    </row>
    <row r="624" spans="1:1">
      <c r="A624" s="77"/>
    </row>
    <row r="625" spans="1:1">
      <c r="A625" s="77"/>
    </row>
    <row r="626" spans="1:1">
      <c r="A626" s="77"/>
    </row>
    <row r="627" spans="1:1">
      <c r="A627" s="77"/>
    </row>
    <row r="628" spans="1:1">
      <c r="A628" s="77"/>
    </row>
    <row r="629" spans="1:1">
      <c r="A629" s="77"/>
    </row>
    <row r="630" spans="1:1">
      <c r="A630" s="77"/>
    </row>
    <row r="631" spans="1:1">
      <c r="A631" s="77"/>
    </row>
    <row r="632" spans="1:1">
      <c r="A632" s="77"/>
    </row>
    <row r="633" spans="1:1">
      <c r="A633" s="77"/>
    </row>
    <row r="634" spans="1:1">
      <c r="A634" s="77"/>
    </row>
    <row r="635" spans="1:1">
      <c r="A635" s="77"/>
    </row>
    <row r="636" spans="1:1">
      <c r="A636" s="77"/>
    </row>
    <row r="637" spans="1:1">
      <c r="A637" s="77"/>
    </row>
    <row r="638" spans="1:1">
      <c r="A638" s="77"/>
    </row>
    <row r="639" spans="1:1">
      <c r="A639" s="77"/>
    </row>
    <row r="640" spans="1:1">
      <c r="A640" s="77"/>
    </row>
    <row r="641" spans="1:1">
      <c r="A641" s="77"/>
    </row>
    <row r="642" spans="1:1">
      <c r="A642" s="77"/>
    </row>
    <row r="643" spans="1:1">
      <c r="A643" s="77"/>
    </row>
    <row r="644" spans="1:1">
      <c r="A644" s="77"/>
    </row>
    <row r="645" spans="1:1">
      <c r="A645" s="77"/>
    </row>
    <row r="646" spans="1:1">
      <c r="A646" s="77"/>
    </row>
    <row r="647" spans="1:1">
      <c r="A647" s="77"/>
    </row>
    <row r="648" spans="1:1">
      <c r="A648" s="77"/>
    </row>
    <row r="649" spans="1:1">
      <c r="A649" s="77"/>
    </row>
    <row r="650" spans="1:1">
      <c r="A650" s="77"/>
    </row>
    <row r="651" spans="1:1">
      <c r="A651" s="77"/>
    </row>
    <row r="652" spans="1:1">
      <c r="A652" s="77"/>
    </row>
    <row r="653" spans="1:1">
      <c r="A653" s="77"/>
    </row>
    <row r="654" spans="1:1">
      <c r="A654" s="77"/>
    </row>
    <row r="655" spans="1:1">
      <c r="A655" s="77"/>
    </row>
    <row r="656" spans="1:1">
      <c r="A656" s="77"/>
    </row>
    <row r="657" spans="1:1">
      <c r="A657" s="77"/>
    </row>
    <row r="658" spans="1:1">
      <c r="A658" s="77"/>
    </row>
    <row r="659" spans="1:1">
      <c r="A659" s="77"/>
    </row>
    <row r="660" spans="1:1">
      <c r="A660" s="77"/>
    </row>
    <row r="661" spans="1:1">
      <c r="A661" s="77"/>
    </row>
    <row r="662" spans="1:1">
      <c r="A662" s="77"/>
    </row>
    <row r="663" spans="1:1">
      <c r="A663" s="77"/>
    </row>
    <row r="664" spans="1:1">
      <c r="A664" s="77"/>
    </row>
    <row r="665" spans="1:1">
      <c r="A665" s="77"/>
    </row>
    <row r="666" spans="1:1">
      <c r="A666" s="77"/>
    </row>
    <row r="667" spans="1:1">
      <c r="A667" s="77"/>
    </row>
    <row r="668" spans="1:1">
      <c r="A668" s="77"/>
    </row>
    <row r="669" spans="1:1">
      <c r="A669" s="77"/>
    </row>
    <row r="670" spans="1:1">
      <c r="A670" s="77"/>
    </row>
    <row r="671" spans="1:1">
      <c r="A671" s="77"/>
    </row>
    <row r="672" spans="1:1">
      <c r="A672" s="77"/>
    </row>
    <row r="673" spans="1:1">
      <c r="A673" s="77"/>
    </row>
    <row r="674" spans="1:1">
      <c r="A674" s="77"/>
    </row>
    <row r="675" spans="1:1">
      <c r="A675" s="77"/>
    </row>
    <row r="676" spans="1:1">
      <c r="A676" s="77"/>
    </row>
    <row r="677" spans="1:1">
      <c r="A677" s="77"/>
    </row>
    <row r="678" spans="1:1">
      <c r="A678" s="77"/>
    </row>
    <row r="679" spans="1:1">
      <c r="A679" s="77"/>
    </row>
    <row r="680" spans="1:1">
      <c r="A680" s="77"/>
    </row>
    <row r="681" spans="1:1">
      <c r="A681" s="77"/>
    </row>
    <row r="682" spans="1:1">
      <c r="A682" s="77"/>
    </row>
    <row r="683" spans="1:1">
      <c r="A683" s="77"/>
    </row>
    <row r="684" spans="1:1">
      <c r="A684" s="77"/>
    </row>
    <row r="685" spans="1:1">
      <c r="A685" s="77"/>
    </row>
    <row r="686" spans="1:1">
      <c r="A686" s="77"/>
    </row>
    <row r="687" spans="1:1">
      <c r="A687" s="77"/>
    </row>
    <row r="688" spans="1:1">
      <c r="A688" s="77"/>
    </row>
    <row r="689" spans="1:1">
      <c r="A689" s="77"/>
    </row>
    <row r="690" spans="1:1">
      <c r="A690" s="77"/>
    </row>
    <row r="691" spans="1:1">
      <c r="A691" s="77"/>
    </row>
    <row r="692" spans="1:1">
      <c r="A692" s="77"/>
    </row>
    <row r="693" spans="1:1">
      <c r="A693" s="77"/>
    </row>
    <row r="694" spans="1:1">
      <c r="A694" s="77"/>
    </row>
    <row r="695" spans="1:1">
      <c r="A695" s="77"/>
    </row>
    <row r="696" spans="1:1">
      <c r="A696" s="77"/>
    </row>
    <row r="697" spans="1:1">
      <c r="A697" s="77"/>
    </row>
    <row r="698" spans="1:1">
      <c r="A698" s="77"/>
    </row>
    <row r="699" spans="1:1">
      <c r="A699" s="77"/>
    </row>
    <row r="700" spans="1:1">
      <c r="A700" s="77"/>
    </row>
    <row r="701" spans="1:1">
      <c r="A701" s="77"/>
    </row>
    <row r="702" spans="1:1">
      <c r="A702" s="77"/>
    </row>
    <row r="703" spans="1:1">
      <c r="A703" s="77"/>
    </row>
    <row r="704" spans="1:1">
      <c r="A704" s="77"/>
    </row>
    <row r="705" spans="1:1">
      <c r="A705" s="77"/>
    </row>
    <row r="706" spans="1:1">
      <c r="A706" s="77"/>
    </row>
    <row r="707" spans="1:1">
      <c r="A707" s="77"/>
    </row>
    <row r="708" spans="1:1">
      <c r="A708" s="77"/>
    </row>
    <row r="709" spans="1:1">
      <c r="A709" s="77"/>
    </row>
    <row r="710" spans="1:1">
      <c r="A710" s="77"/>
    </row>
    <row r="711" spans="1:1">
      <c r="A711" s="77"/>
    </row>
    <row r="712" spans="1:1">
      <c r="A712" s="77"/>
    </row>
    <row r="713" spans="1:1">
      <c r="A713" s="77"/>
    </row>
    <row r="714" spans="1:1">
      <c r="A714" s="77"/>
    </row>
    <row r="715" spans="1:1">
      <c r="A715" s="77"/>
    </row>
    <row r="716" spans="1:1">
      <c r="A716" s="77"/>
    </row>
    <row r="717" spans="1:1">
      <c r="A717" s="77"/>
    </row>
    <row r="718" spans="1:1">
      <c r="A718" s="77"/>
    </row>
    <row r="719" spans="1:1">
      <c r="A719" s="77"/>
    </row>
    <row r="720" spans="1:1">
      <c r="A720" s="77"/>
    </row>
    <row r="721" spans="1:1">
      <c r="A721" s="77"/>
    </row>
    <row r="722" spans="1:1">
      <c r="A722" s="77"/>
    </row>
    <row r="723" spans="1:1">
      <c r="A723" s="77"/>
    </row>
    <row r="724" spans="1:1">
      <c r="A724" s="77"/>
    </row>
    <row r="725" spans="1:1">
      <c r="A725" s="77"/>
    </row>
    <row r="726" spans="1:1">
      <c r="A726" s="77"/>
    </row>
    <row r="727" spans="1:1">
      <c r="A727" s="77"/>
    </row>
    <row r="728" spans="1:1">
      <c r="A728" s="77"/>
    </row>
    <row r="729" spans="1:1">
      <c r="A729" s="77"/>
    </row>
    <row r="730" spans="1:1">
      <c r="A730" s="77"/>
    </row>
    <row r="731" spans="1:1">
      <c r="A731" s="77"/>
    </row>
    <row r="732" spans="1:1">
      <c r="A732" s="77"/>
    </row>
    <row r="733" spans="1:1">
      <c r="A733" s="77"/>
    </row>
    <row r="734" spans="1:1">
      <c r="A734" s="77"/>
    </row>
    <row r="735" spans="1:1">
      <c r="A735" s="77"/>
    </row>
    <row r="736" spans="1:1">
      <c r="A736" s="77"/>
    </row>
    <row r="737" spans="1:1">
      <c r="A737" s="77"/>
    </row>
    <row r="738" spans="1:1">
      <c r="A738" s="77"/>
    </row>
    <row r="739" spans="1:1">
      <c r="A739" s="77"/>
    </row>
    <row r="740" spans="1:1">
      <c r="A740" s="77"/>
    </row>
    <row r="741" spans="1:1">
      <c r="A741" s="77"/>
    </row>
    <row r="742" spans="1:1">
      <c r="A742" s="77"/>
    </row>
    <row r="743" spans="1:1">
      <c r="A743" s="77"/>
    </row>
    <row r="744" spans="1:1">
      <c r="A744" s="77"/>
    </row>
    <row r="745" spans="1:1">
      <c r="A745" s="77"/>
    </row>
    <row r="746" spans="1:1">
      <c r="A746" s="77"/>
    </row>
    <row r="747" spans="1:1">
      <c r="A747" s="77"/>
    </row>
    <row r="748" spans="1:1">
      <c r="A748" s="77"/>
    </row>
    <row r="749" spans="1:1">
      <c r="A749" s="77"/>
    </row>
    <row r="750" spans="1:1">
      <c r="A750" s="77"/>
    </row>
    <row r="751" spans="1:1">
      <c r="A751" s="77"/>
    </row>
    <row r="752" spans="1:1">
      <c r="A752" s="77"/>
    </row>
    <row r="753" spans="1:1">
      <c r="A753" s="77"/>
    </row>
    <row r="754" spans="1:1">
      <c r="A754" s="77"/>
    </row>
    <row r="755" spans="1:1">
      <c r="A755" s="77"/>
    </row>
    <row r="756" spans="1:1">
      <c r="A756" s="77"/>
    </row>
    <row r="757" spans="1:1">
      <c r="A757" s="77"/>
    </row>
    <row r="758" spans="1:1">
      <c r="A758" s="77"/>
    </row>
    <row r="759" spans="1:1">
      <c r="A759" s="77"/>
    </row>
    <row r="760" spans="1:1">
      <c r="A760" s="77"/>
    </row>
    <row r="761" spans="1:1">
      <c r="A761" s="77"/>
    </row>
    <row r="762" spans="1:1">
      <c r="A762" s="77"/>
    </row>
    <row r="763" spans="1:1">
      <c r="A763" s="77"/>
    </row>
    <row r="764" spans="1:1">
      <c r="A764" s="77"/>
    </row>
    <row r="765" spans="1:1">
      <c r="A765" s="77"/>
    </row>
    <row r="766" spans="1:1">
      <c r="A766" s="77"/>
    </row>
    <row r="767" spans="1:1">
      <c r="A767" s="77"/>
    </row>
    <row r="768" spans="1:1">
      <c r="A768" s="77"/>
    </row>
    <row r="769" spans="1:1">
      <c r="A769" s="77"/>
    </row>
    <row r="770" spans="1:1">
      <c r="A770" s="77"/>
    </row>
    <row r="771" spans="1:1">
      <c r="A771" s="77"/>
    </row>
    <row r="772" spans="1:1">
      <c r="A772" s="77"/>
    </row>
    <row r="773" spans="1:1">
      <c r="A773" s="77"/>
    </row>
    <row r="774" spans="1:1">
      <c r="A774" s="77"/>
    </row>
    <row r="775" spans="1:1">
      <c r="A775" s="77"/>
    </row>
    <row r="776" spans="1:1">
      <c r="A776" s="77"/>
    </row>
    <row r="777" spans="1:1">
      <c r="A777" s="77"/>
    </row>
    <row r="778" spans="1:1">
      <c r="A778" s="77"/>
    </row>
    <row r="779" spans="1:1">
      <c r="A779" s="77"/>
    </row>
    <row r="780" spans="1:1">
      <c r="A780" s="77"/>
    </row>
    <row r="781" spans="1:1">
      <c r="A781" s="77"/>
    </row>
    <row r="782" spans="1:1">
      <c r="A782" s="77"/>
    </row>
    <row r="783" spans="1:1">
      <c r="A783" s="77"/>
    </row>
    <row r="784" spans="1:1">
      <c r="A784" s="77"/>
    </row>
    <row r="785" spans="1:1">
      <c r="A785" s="77"/>
    </row>
    <row r="786" spans="1:1">
      <c r="A786" s="77"/>
    </row>
    <row r="787" spans="1:1">
      <c r="A787" s="77"/>
    </row>
    <row r="788" spans="1:1">
      <c r="A788" s="77"/>
    </row>
    <row r="789" spans="1:1">
      <c r="A789" s="77"/>
    </row>
    <row r="790" spans="1:1">
      <c r="A790" s="77"/>
    </row>
    <row r="791" spans="1:1">
      <c r="A791" s="77"/>
    </row>
    <row r="792" spans="1:1">
      <c r="A792" s="77"/>
    </row>
    <row r="793" spans="1:1">
      <c r="A793" s="77"/>
    </row>
    <row r="794" spans="1:1">
      <c r="A794" s="77"/>
    </row>
    <row r="795" spans="1:1">
      <c r="A795" s="77"/>
    </row>
    <row r="796" spans="1:1">
      <c r="A796" s="77"/>
    </row>
    <row r="797" spans="1:1">
      <c r="A797" s="77"/>
    </row>
    <row r="798" spans="1:1">
      <c r="A798" s="77"/>
    </row>
    <row r="799" spans="1:1">
      <c r="A799" s="77"/>
    </row>
    <row r="800" spans="1:1">
      <c r="A800" s="77"/>
    </row>
    <row r="801" spans="1:1">
      <c r="A801" s="77"/>
    </row>
    <row r="802" spans="1:1">
      <c r="A802" s="77"/>
    </row>
    <row r="803" spans="1:1">
      <c r="A803" s="77"/>
    </row>
    <row r="804" spans="1:1">
      <c r="A804" s="77"/>
    </row>
    <row r="805" spans="1:1">
      <c r="A805" s="77"/>
    </row>
    <row r="806" spans="1:1">
      <c r="A806" s="77"/>
    </row>
    <row r="807" spans="1:1">
      <c r="A807" s="77"/>
    </row>
    <row r="808" spans="1:1">
      <c r="A808" s="77"/>
    </row>
    <row r="809" spans="1:1">
      <c r="A809" s="77"/>
    </row>
    <row r="810" spans="1:1">
      <c r="A810" s="77"/>
    </row>
    <row r="811" spans="1:1">
      <c r="A811" s="77"/>
    </row>
    <row r="812" spans="1:1">
      <c r="A812" s="77"/>
    </row>
    <row r="813" spans="1:1">
      <c r="A813" s="77"/>
    </row>
    <row r="814" spans="1:1">
      <c r="A814" s="77"/>
    </row>
    <row r="815" spans="1:1">
      <c r="A815" s="77"/>
    </row>
    <row r="816" spans="1:1">
      <c r="A816" s="77"/>
    </row>
    <row r="817" spans="1:1">
      <c r="A817" s="77"/>
    </row>
    <row r="818" spans="1:1">
      <c r="A818" s="77"/>
    </row>
    <row r="819" spans="1:1">
      <c r="A819" s="77"/>
    </row>
    <row r="820" spans="1:1">
      <c r="A820" s="77"/>
    </row>
    <row r="821" spans="1:1">
      <c r="A821" s="77"/>
    </row>
    <row r="822" spans="1:1">
      <c r="A822" s="77"/>
    </row>
    <row r="823" spans="1:1">
      <c r="A823" s="77"/>
    </row>
    <row r="824" spans="1:1">
      <c r="A824" s="77"/>
    </row>
    <row r="825" spans="1:1">
      <c r="A825" s="77"/>
    </row>
    <row r="826" spans="1:1">
      <c r="A826" s="77"/>
    </row>
    <row r="827" spans="1:1">
      <c r="A827" s="77"/>
    </row>
    <row r="828" spans="1:1">
      <c r="A828" s="77"/>
    </row>
    <row r="829" spans="1:1">
      <c r="A829" s="77"/>
    </row>
    <row r="830" spans="1:1">
      <c r="A830" s="77"/>
    </row>
    <row r="831" spans="1:1">
      <c r="A831" s="77"/>
    </row>
    <row r="832" spans="1:1">
      <c r="A832" s="77"/>
    </row>
    <row r="833" spans="1:1">
      <c r="A833" s="77"/>
    </row>
    <row r="834" spans="1:1">
      <c r="A834" s="77"/>
    </row>
    <row r="835" spans="1:1">
      <c r="A835" s="77"/>
    </row>
    <row r="836" spans="1:1">
      <c r="A836" s="77"/>
    </row>
    <row r="837" spans="1:1">
      <c r="A837" s="77"/>
    </row>
    <row r="838" spans="1:1">
      <c r="A838" s="77"/>
    </row>
    <row r="839" spans="1:1">
      <c r="A839" s="77"/>
    </row>
    <row r="840" spans="1:1">
      <c r="A840" s="77"/>
    </row>
    <row r="841" spans="1:1">
      <c r="A841" s="77"/>
    </row>
    <row r="842" spans="1:1">
      <c r="A842" s="77"/>
    </row>
    <row r="843" spans="1:1">
      <c r="A843" s="77"/>
    </row>
    <row r="844" spans="1:1">
      <c r="A844" s="77"/>
    </row>
    <row r="845" spans="1:1">
      <c r="A845" s="77"/>
    </row>
    <row r="846" spans="1:1">
      <c r="A846" s="77"/>
    </row>
    <row r="847" spans="1:1">
      <c r="A847" s="77"/>
    </row>
    <row r="848" spans="1:1">
      <c r="A848" s="77"/>
    </row>
    <row r="849" spans="1:1">
      <c r="A849" s="77"/>
    </row>
    <row r="850" spans="1:1">
      <c r="A850" s="77"/>
    </row>
    <row r="851" spans="1:1">
      <c r="A851" s="77"/>
    </row>
    <row r="852" spans="1:1">
      <c r="A852" s="77"/>
    </row>
    <row r="853" spans="1:1">
      <c r="A853" s="77"/>
    </row>
    <row r="854" spans="1:1">
      <c r="A854" s="77"/>
    </row>
    <row r="855" spans="1:1">
      <c r="A855" s="77"/>
    </row>
    <row r="856" spans="1:1">
      <c r="A856" s="77"/>
    </row>
    <row r="857" spans="1:1">
      <c r="A857" s="77"/>
    </row>
    <row r="858" spans="1:1">
      <c r="A858" s="77"/>
    </row>
    <row r="859" spans="1:1">
      <c r="A859" s="77"/>
    </row>
    <row r="860" spans="1:1">
      <c r="A860" s="77"/>
    </row>
    <row r="861" spans="1:1">
      <c r="A861" s="77"/>
    </row>
    <row r="862" spans="1:1">
      <c r="A862" s="77"/>
    </row>
    <row r="863" spans="1:1">
      <c r="A863" s="77"/>
    </row>
    <row r="864" spans="1:1">
      <c r="A864" s="77"/>
    </row>
    <row r="865" spans="1:1">
      <c r="A865" s="77"/>
    </row>
    <row r="866" spans="1:1">
      <c r="A866" s="77"/>
    </row>
    <row r="867" spans="1:1">
      <c r="A867" s="77"/>
    </row>
    <row r="868" spans="1:1">
      <c r="A868" s="77"/>
    </row>
    <row r="869" spans="1:1">
      <c r="A869" s="77"/>
    </row>
    <row r="870" spans="1:1">
      <c r="A870" s="77"/>
    </row>
    <row r="871" spans="1:1">
      <c r="A871" s="77"/>
    </row>
    <row r="872" spans="1:1">
      <c r="A872" s="77"/>
    </row>
    <row r="873" spans="1:1">
      <c r="A873" s="77"/>
    </row>
    <row r="874" spans="1:1">
      <c r="A874" s="77"/>
    </row>
    <row r="875" spans="1:1">
      <c r="A875" s="77"/>
    </row>
    <row r="876" spans="1:1">
      <c r="A876" s="77"/>
    </row>
    <row r="877" spans="1:1">
      <c r="A877" s="77"/>
    </row>
    <row r="878" spans="1:1">
      <c r="A878" s="77"/>
    </row>
    <row r="879" spans="1:1">
      <c r="A879" s="77"/>
    </row>
    <row r="880" spans="1:1">
      <c r="A880" s="77"/>
    </row>
    <row r="881" spans="1:1">
      <c r="A881" s="77"/>
    </row>
    <row r="882" spans="1:1">
      <c r="A882" s="77"/>
    </row>
    <row r="883" spans="1:1">
      <c r="A883" s="77"/>
    </row>
    <row r="884" spans="1:1">
      <c r="A884" s="77"/>
    </row>
    <row r="885" spans="1:1">
      <c r="A885" s="77"/>
    </row>
    <row r="886" spans="1:1">
      <c r="A886" s="77"/>
    </row>
    <row r="887" spans="1:1">
      <c r="A887" s="77"/>
    </row>
    <row r="888" spans="1:1">
      <c r="A888" s="77"/>
    </row>
    <row r="889" spans="1:1">
      <c r="A889" s="77"/>
    </row>
    <row r="890" spans="1:1">
      <c r="A890" s="77"/>
    </row>
    <row r="891" spans="1:1">
      <c r="A891" s="77"/>
    </row>
    <row r="892" spans="1:1">
      <c r="A892" s="77"/>
    </row>
    <row r="893" spans="1:1">
      <c r="A893" s="77"/>
    </row>
    <row r="894" spans="1:1">
      <c r="A894" s="77"/>
    </row>
    <row r="895" spans="1:1">
      <c r="A895" s="77"/>
    </row>
    <row r="896" spans="1:1">
      <c r="A896" s="77"/>
    </row>
    <row r="897" spans="1:1">
      <c r="A897" s="77"/>
    </row>
    <row r="898" spans="1:1">
      <c r="A898" s="77"/>
    </row>
    <row r="899" spans="1:1">
      <c r="A899" s="77"/>
    </row>
    <row r="900" spans="1:1">
      <c r="A900" s="77"/>
    </row>
    <row r="901" spans="1:1">
      <c r="A901" s="77"/>
    </row>
    <row r="902" spans="1:1">
      <c r="A902" s="77"/>
    </row>
    <row r="903" spans="1:1">
      <c r="A903" s="77"/>
    </row>
    <row r="904" spans="1:1">
      <c r="A904" s="77"/>
    </row>
    <row r="905" spans="1:1">
      <c r="A905" s="77"/>
    </row>
    <row r="906" spans="1:1">
      <c r="A906" s="77"/>
    </row>
    <row r="907" spans="1:1">
      <c r="A907" s="77"/>
    </row>
    <row r="908" spans="1:1">
      <c r="A908" s="77"/>
    </row>
    <row r="909" spans="1:1">
      <c r="A909" s="77"/>
    </row>
    <row r="910" spans="1:1">
      <c r="A910" s="77"/>
    </row>
    <row r="911" spans="1:1">
      <c r="A911" s="77"/>
    </row>
    <row r="912" spans="1:1">
      <c r="A912" s="77"/>
    </row>
    <row r="913" spans="1:1">
      <c r="A913" s="77"/>
    </row>
    <row r="914" spans="1:1">
      <c r="A914" s="77"/>
    </row>
    <row r="915" spans="1:1">
      <c r="A915" s="77"/>
    </row>
    <row r="916" spans="1:1">
      <c r="A916" s="77"/>
    </row>
    <row r="917" spans="1:1">
      <c r="A917" s="77"/>
    </row>
    <row r="918" spans="1:1">
      <c r="A918" s="77"/>
    </row>
    <row r="919" spans="1:1">
      <c r="A919" s="77"/>
    </row>
    <row r="920" spans="1:1">
      <c r="A920" s="77"/>
    </row>
    <row r="921" spans="1:1">
      <c r="A921" s="77"/>
    </row>
    <row r="922" spans="1:1">
      <c r="A922" s="77"/>
    </row>
    <row r="923" spans="1:1">
      <c r="A923" s="77"/>
    </row>
    <row r="924" spans="1:1">
      <c r="A924" s="77"/>
    </row>
    <row r="925" spans="1:1">
      <c r="A925" s="77"/>
    </row>
    <row r="926" spans="1:1">
      <c r="A926" s="77"/>
    </row>
    <row r="927" spans="1:1">
      <c r="A927" s="77"/>
    </row>
    <row r="928" spans="1:1">
      <c r="A928" s="77"/>
    </row>
    <row r="929" spans="1:1">
      <c r="A929" s="77"/>
    </row>
    <row r="930" spans="1:1">
      <c r="A930" s="77"/>
    </row>
    <row r="931" spans="1:1">
      <c r="A931" s="77"/>
    </row>
    <row r="932" spans="1:1">
      <c r="A932" s="77"/>
    </row>
    <row r="933" spans="1:1">
      <c r="A933" s="77"/>
    </row>
    <row r="934" spans="1:1">
      <c r="A934" s="77"/>
    </row>
    <row r="935" spans="1:1">
      <c r="A935" s="77"/>
    </row>
    <row r="936" spans="1:1">
      <c r="A936" s="77"/>
    </row>
    <row r="937" spans="1:1">
      <c r="A937" s="77"/>
    </row>
    <row r="938" spans="1:1">
      <c r="A938" s="77"/>
    </row>
    <row r="939" spans="1:1">
      <c r="A939" s="77"/>
    </row>
    <row r="940" spans="1:1">
      <c r="A940" s="77"/>
    </row>
    <row r="941" spans="1:1">
      <c r="A941" s="77"/>
    </row>
    <row r="942" spans="1:1">
      <c r="A942" s="77"/>
    </row>
    <row r="943" spans="1:1">
      <c r="A943" s="77"/>
    </row>
    <row r="944" spans="1:1">
      <c r="A944" s="77"/>
    </row>
    <row r="945" spans="1:1">
      <c r="A945" s="77"/>
    </row>
    <row r="946" spans="1:1">
      <c r="A946" s="77"/>
    </row>
    <row r="947" spans="1:1">
      <c r="A947" s="77"/>
    </row>
    <row r="948" spans="1:1">
      <c r="A948" s="77"/>
    </row>
    <row r="949" spans="1:1">
      <c r="A949" s="77"/>
    </row>
    <row r="950" spans="1:1">
      <c r="A950" s="77"/>
    </row>
    <row r="951" spans="1:1">
      <c r="A951" s="77"/>
    </row>
    <row r="952" spans="1:1">
      <c r="A952" s="77"/>
    </row>
    <row r="953" spans="1:1">
      <c r="A953" s="77"/>
    </row>
    <row r="954" spans="1:1">
      <c r="A954" s="77"/>
    </row>
    <row r="955" spans="1:1">
      <c r="A955" s="77"/>
    </row>
    <row r="956" spans="1:1">
      <c r="A956" s="77"/>
    </row>
    <row r="957" spans="1:1">
      <c r="A957" s="77"/>
    </row>
    <row r="958" spans="1:1">
      <c r="A958" s="77"/>
    </row>
    <row r="959" spans="1:1">
      <c r="A959" s="77"/>
    </row>
    <row r="960" spans="1:1">
      <c r="A960" s="77"/>
    </row>
    <row r="961" spans="1:1">
      <c r="A961" s="77"/>
    </row>
    <row r="962" spans="1:1">
      <c r="A962" s="77"/>
    </row>
    <row r="963" spans="1:1">
      <c r="A963" s="77"/>
    </row>
    <row r="964" spans="1:1">
      <c r="A964" s="77"/>
    </row>
    <row r="965" spans="1:1">
      <c r="A965" s="77"/>
    </row>
    <row r="966" spans="1:1">
      <c r="A966" s="77"/>
    </row>
    <row r="967" spans="1:1">
      <c r="A967" s="77"/>
    </row>
    <row r="968" spans="1:1">
      <c r="A968" s="77"/>
    </row>
    <row r="969" spans="1:1">
      <c r="A969" s="77"/>
    </row>
    <row r="970" spans="1:1">
      <c r="A970" s="77"/>
    </row>
    <row r="971" spans="1:1">
      <c r="A971" s="77"/>
    </row>
    <row r="972" spans="1:1">
      <c r="A972" s="77"/>
    </row>
    <row r="973" spans="1:1">
      <c r="A973" s="77"/>
    </row>
    <row r="974" spans="1:1">
      <c r="A974" s="77"/>
    </row>
    <row r="975" spans="1:1">
      <c r="A975" s="77"/>
    </row>
    <row r="976" spans="1:1">
      <c r="A976" s="77"/>
    </row>
    <row r="977" spans="1:1">
      <c r="A977" s="77"/>
    </row>
    <row r="978" spans="1:1">
      <c r="A978" s="77"/>
    </row>
    <row r="979" spans="1:1">
      <c r="A979" s="77"/>
    </row>
    <row r="980" spans="1:1">
      <c r="A980" s="77"/>
    </row>
    <row r="981" spans="1:1">
      <c r="A981" s="77"/>
    </row>
    <row r="982" spans="1:1">
      <c r="A982" s="77"/>
    </row>
    <row r="983" spans="1:1">
      <c r="A983" s="77"/>
    </row>
    <row r="984" spans="1:1">
      <c r="A984" s="77"/>
    </row>
    <row r="985" spans="1:1">
      <c r="A985" s="77"/>
    </row>
    <row r="986" spans="1:1">
      <c r="A986" s="77"/>
    </row>
    <row r="987" spans="1:1">
      <c r="A987" s="77"/>
    </row>
    <row r="988" spans="1:1">
      <c r="A988" s="77"/>
    </row>
    <row r="989" spans="1:1">
      <c r="A989" s="77"/>
    </row>
    <row r="990" spans="1:1">
      <c r="A990" s="77"/>
    </row>
    <row r="991" spans="1:1">
      <c r="A991" s="77"/>
    </row>
    <row r="992" spans="1:1">
      <c r="A992" s="77"/>
    </row>
    <row r="993" spans="1:1">
      <c r="A993" s="77"/>
    </row>
    <row r="994" spans="1:1">
      <c r="A994" s="77"/>
    </row>
    <row r="995" spans="1:1">
      <c r="A995" s="77"/>
    </row>
    <row r="996" spans="1:1">
      <c r="A996" s="77"/>
    </row>
    <row r="997" spans="1:1">
      <c r="A997" s="77"/>
    </row>
    <row r="998" spans="1:1">
      <c r="A998" s="77"/>
    </row>
    <row r="999" spans="1:1">
      <c r="A999" s="77"/>
    </row>
    <row r="1000" spans="1:1">
      <c r="A1000" s="77"/>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2023-04-30T22:25:24Z</dcterms:modified>
  <dc:language>tr-TR</dc:language>
</cp:coreProperties>
</file>