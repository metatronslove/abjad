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abdil\Belgelerim\abjad-main\"/>
    </mc:Choice>
  </mc:AlternateContent>
  <bookViews>
    <workbookView xWindow="8970" yWindow="0" windowWidth="16380" windowHeight="8190" tabRatio="500"/>
  </bookViews>
  <sheets>
    <sheet name="4ncü Derece" sheetId="1" r:id="rId1"/>
    <sheet name="Ebced Ayrıntıları" sheetId="2" r:id="rId2"/>
    <sheet name="Vefk Hakkında Yardım" sheetId="3" r:id="rId3"/>
  </sheets>
  <functionGroups builtInGroupCount="18"/>
  <calcPr calcId="162913" iterateDelta="1E-4"/>
  <webPublishing allowPng="1" targetScreenSize="1024x768" codePage="65001"/>
  <extLst>
    <ext xmlns:loext="http://schemas.libreoffice.org/" uri="{7626C862-2A13-11E5-B345-FEFF819CDC9F}">
      <loext:extCalcPr stringRefSyntax="CalcA1ExcelA1"/>
    </ext>
  </extLst>
</workbook>
</file>

<file path=xl/calcChain.xml><?xml version="1.0" encoding="utf-8"?>
<calcChain xmlns="http://schemas.openxmlformats.org/spreadsheetml/2006/main">
  <c r="A18" i="1" l="1"/>
  <c r="G15" i="1"/>
  <c r="J13" i="1"/>
  <c r="A3" i="2" l="1"/>
  <c r="A5" i="2"/>
  <c r="A6" i="2"/>
  <c r="A7" i="2"/>
  <c r="A9" i="2"/>
  <c r="A10" i="2"/>
  <c r="A11" i="2"/>
  <c r="A12" i="2"/>
  <c r="A13" i="2"/>
  <c r="A14" i="2"/>
  <c r="A15" i="2"/>
  <c r="A16" i="2"/>
  <c r="A17" i="2"/>
  <c r="A8" i="2"/>
  <c r="B18" i="2" l="1"/>
  <c r="A4" i="2"/>
  <c r="A2" i="2"/>
  <c r="D17" i="1"/>
  <c r="E17" i="1" s="1"/>
  <c r="C17" i="1"/>
  <c r="B17" i="1"/>
  <c r="D16" i="1"/>
  <c r="E16" i="1" s="1"/>
  <c r="C16" i="1"/>
  <c r="B16" i="1"/>
  <c r="D15" i="1"/>
  <c r="E15" i="1" s="1"/>
  <c r="C15" i="1"/>
  <c r="B15" i="1"/>
  <c r="H14" i="1"/>
  <c r="I14" i="1" s="1"/>
  <c r="D14" i="1"/>
  <c r="E14" i="1" s="1"/>
  <c r="C14" i="1"/>
  <c r="B14" i="1"/>
  <c r="D13" i="1"/>
  <c r="E13" i="1" s="1"/>
  <c r="C13" i="1"/>
  <c r="B13" i="1"/>
  <c r="D12" i="1"/>
  <c r="E12" i="1" s="1"/>
  <c r="C12" i="1"/>
  <c r="B12" i="1"/>
  <c r="D11" i="1"/>
  <c r="E11" i="1" s="1"/>
  <c r="C11" i="1"/>
  <c r="B11" i="1"/>
  <c r="D10" i="1"/>
  <c r="E10" i="1" s="1"/>
  <c r="C10" i="1"/>
  <c r="B10" i="1"/>
  <c r="D9" i="1"/>
  <c r="E9" i="1" s="1"/>
  <c r="C9" i="1"/>
  <c r="B9" i="1"/>
  <c r="C8" i="1"/>
  <c r="B8" i="1"/>
  <c r="C7" i="1"/>
  <c r="B7" i="1"/>
  <c r="C6" i="1"/>
  <c r="B6" i="1"/>
  <c r="C5" i="1"/>
  <c r="B5" i="1"/>
  <c r="D4" i="1"/>
  <c r="D2" i="1"/>
  <c r="D3" i="1"/>
  <c r="D6" i="1"/>
  <c r="D5" i="1"/>
  <c r="C15" i="2"/>
  <c r="C12" i="2"/>
  <c r="C3" i="2"/>
  <c r="B9" i="2"/>
  <c r="B17" i="2"/>
  <c r="C13" i="2"/>
  <c r="C10" i="2"/>
  <c r="C14" i="2"/>
  <c r="B14" i="2"/>
  <c r="B7" i="2"/>
  <c r="B13" i="2"/>
  <c r="B3" i="2"/>
  <c r="C16" i="2"/>
  <c r="B6" i="2"/>
  <c r="B5" i="2"/>
  <c r="B11" i="2"/>
  <c r="B15" i="2"/>
  <c r="B4" i="2" l="1"/>
  <c r="B2" i="2"/>
  <c r="E3" i="1"/>
  <c r="D8" i="1"/>
  <c r="D7" i="1"/>
  <c r="E6" i="1"/>
  <c r="C6" i="2"/>
  <c r="C9" i="2"/>
  <c r="C11" i="2"/>
  <c r="C17" i="2"/>
  <c r="B12" i="2"/>
  <c r="B8" i="2"/>
  <c r="C5" i="2"/>
  <c r="B10" i="2"/>
  <c r="B16" i="2"/>
  <c r="F18" i="1" l="1"/>
  <c r="D18" i="1"/>
  <c r="C18" i="1" s="1"/>
  <c r="E8" i="1"/>
  <c r="E7" i="1"/>
  <c r="E5" i="1"/>
  <c r="C7" i="2"/>
  <c r="C8" i="2"/>
  <c r="I5" i="1" l="1"/>
  <c r="G5" i="1"/>
  <c r="J4" i="1"/>
  <c r="H4" i="1"/>
  <c r="J3" i="1"/>
  <c r="H3" i="1"/>
  <c r="I2" i="1"/>
  <c r="G2" i="1"/>
  <c r="J5" i="1"/>
  <c r="H5" i="1"/>
  <c r="I4" i="1"/>
  <c r="G4" i="1"/>
  <c r="I3" i="1"/>
  <c r="G3" i="1"/>
  <c r="H2" i="1"/>
  <c r="J2" i="1"/>
  <c r="I7" i="1"/>
  <c r="J8" i="1"/>
  <c r="J9" i="1"/>
  <c r="I10" i="1"/>
  <c r="H7" i="1"/>
  <c r="I8" i="1"/>
  <c r="I9" i="1"/>
  <c r="J10" i="1"/>
  <c r="G7" i="1"/>
  <c r="H8" i="1"/>
  <c r="H9" i="1"/>
  <c r="G10" i="1"/>
  <c r="J7" i="1"/>
  <c r="G8" i="1"/>
  <c r="G9" i="1"/>
  <c r="H10" i="1"/>
  <c r="K3" i="1" l="1"/>
  <c r="K4" i="1"/>
  <c r="K5" i="1"/>
  <c r="H6" i="1"/>
  <c r="I6" i="1"/>
  <c r="J6" i="1"/>
  <c r="K1" i="1"/>
  <c r="K2" i="1"/>
  <c r="G6" i="1"/>
  <c r="K6" i="1"/>
  <c r="E18" i="1"/>
  <c r="J12" i="1"/>
  <c r="I25" i="1"/>
  <c r="K12" i="1"/>
  <c r="H25" i="1"/>
  <c r="J25" i="1"/>
</calcChain>
</file>

<file path=xl/comments1.xml><?xml version="1.0" encoding="utf-8"?>
<comments xmlns="http://schemas.openxmlformats.org/spreadsheetml/2006/main">
  <authors>
    <author/>
  </authors>
  <commentList>
    <comment ref="B4" authorId="0" shapeId="0">
      <text>
        <r>
          <rPr>
            <sz val="10"/>
            <color rgb="FF000000"/>
            <rFont val="Arial"/>
            <family val="2"/>
            <charset val="162"/>
          </rPr>
          <t>Asgari Ebced 0
Sağir Ebced 1
Kebir Ebced 2
Ekber Ebced 3
Asgari Frekans 11
Sağir Frekans 12
Kebir Frekans 13
Ekber Frekans 14
Buradaki frekans, harfin Kuran'da kullanılma sıklığı.
	-Abdil Murat ÜNALAN</t>
        </r>
      </text>
    </comment>
    <comment ref="C4" authorId="0" shapeId="0">
      <text>
        <r>
          <rPr>
            <sz val="10"/>
            <color rgb="FF000000"/>
            <rFont val="Arial"/>
            <family val="2"/>
            <charset val="162"/>
          </rPr>
          <t>Şeddeli harfler çift hesaplanacaksa 2, tekse 1.
	-Abdil Murat ÜNALAN</t>
        </r>
      </text>
    </comment>
    <comment ref="J13" authorId="0" shapeId="0">
      <text>
        <r>
          <rPr>
            <sz val="10"/>
            <color rgb="FF000000"/>
            <rFont val="Calibri"/>
            <family val="2"/>
            <charset val="162"/>
            <scheme val="minor"/>
          </rPr>
          <t>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 (Sahur Özel)</t>
        </r>
      </text>
    </comment>
  </commentList>
</comments>
</file>

<file path=xl/sharedStrings.xml><?xml version="1.0" encoding="utf-8"?>
<sst xmlns="http://schemas.openxmlformats.org/spreadsheetml/2006/main" count="115" uniqueCount="90">
  <si>
    <t>Bilgisayarınıza LibreOffice Hesap Tablosu kurarsanız muhtemelen makrolar daha hızlı çalışır.</t>
  </si>
  <si>
    <t>A</t>
  </si>
  <si>
    <t>4'lü Vefk (Döndürebilirsin)</t>
  </si>
  <si>
    <t>🠳 Arapça İsim 🠳</t>
  </si>
  <si>
    <t>Tablo Kodu</t>
  </si>
  <si>
    <t>Şedde Ayarı</t>
  </si>
  <si>
    <t>99'lu Tesbihle</t>
  </si>
  <si>
    <t>Toplama Ekle</t>
  </si>
  <si>
    <t>Ekle</t>
  </si>
  <si>
    <t>🠳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</si>
  <si>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</si>
  <si>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</si>
  <si>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</si>
  <si>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t>
  </si>
  <si>
    <t>ayil ekinin ebcedi 41 mi 51 mi dikkat et, hücre notlarını oku</t>
  </si>
  <si>
    <t>🞊</t>
  </si>
  <si>
    <t>https://tinyurl.com/1v3fk</t>
  </si>
  <si>
    <t>🟗</t>
  </si>
  <si>
    <t>İstintak</t>
  </si>
  <si>
    <t>Kaçıncı Bast</t>
  </si>
  <si>
    <t>99'lu tesbihle  🠳</t>
  </si>
  <si>
    <t>Hüddam Türü</t>
  </si>
  <si>
    <t>ULVI</t>
  </si>
  <si>
    <t>⛥</t>
  </si>
  <si>
    <t>بِسْمِ اللّهِ الرَّحْمَنِ الرَّحِيمِ فَلَمَّا أَلْقَواْ قَالَ مُوسَى مَا جِئْتُم بِهِ السِّحْرُ إِنَّ اللّهَ سَيُبْطِلُهُ إِنَّ اللّهَ لاَ يُصْلِحُ عَمَلَ الْمُفْسِدِينَ وَيُحِقُّ اللّهُ الْحَقَّ بِكَلِمَاتِهِ وَلَوْ كَرِهَ الْمُجْرِمُونَ</t>
  </si>
  <si>
    <t>🌸</t>
  </si>
  <si>
    <t>başka bir sayfa: https://tinyurl.com/t3stc0d3 bu sayfa: https://tinyurl.com/1v3fk</t>
  </si>
  <si>
    <t>Merkezde İsim için 1, Metin Girişi için 12-13 satıra istediğiniz Arapça metni girmekten ve Tablo Kodlarıyla Şedde Ayarlarını düzenlemekten hiç çekinmeyin. ٍSayfayı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</si>
  <si>
    <t>Böylece test ettiğiniz değerleri silip yazmadan ekle-çıkar yapabilirsiniz.</t>
  </si>
  <si>
    <t>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</si>
  <si>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https://github.com/metatronslove/abjad</t>
  </si>
  <si>
    <t>İsminin arapça yazılışı 🢡 https://fb.watch/8MsByqZqo5/</t>
  </si>
  <si>
    <t>Android Telefon veya Tabletinize Multilingual Multi language Çok dilli klavye indirmeyi deneyin. Arapça yazmak o kadar kolay.</t>
  </si>
  <si>
    <t>⌨</t>
  </si>
  <si>
    <t>Windows 🢡</t>
  </si>
  <si>
    <t>https://youtu.be/NshtyrOF7M4</t>
  </si>
  <si>
    <t>Dosyanın LibreOffice sürümü 🢡</t>
  </si>
  <si>
    <t>https://tinyurl.com/lov3rs1on 🢡</t>
  </si>
  <si>
    <t>makroları dosyaya ilişik</t>
  </si>
  <si>
    <t>Linux 🢡</t>
  </si>
  <si>
    <t>https://youtu.be/VLipc-argKU</t>
  </si>
  <si>
    <t>Makrolarla ilgili bazı notlar 🢡</t>
  </si>
  <si>
    <t>https://dosya.org/u6YL</t>
  </si>
  <si>
    <t>Android 🢡</t>
  </si>
  <si>
    <t>https://youtu.be/LUtbXZ7gvj8</t>
  </si>
  <si>
    <t>Ebced Hesaplayan Makrolar 🢡</t>
  </si>
  <si>
    <t>https://go.abdil.one/6</t>
  </si>
  <si>
    <t>Hücrelerdeki yorumları önemseyelim.</t>
  </si>
  <si>
    <t>En doğru hesap iddası taşımamayı anlayalım.</t>
  </si>
  <si>
    <t>Sufli</t>
  </si>
  <si>
    <t>Şer</t>
  </si>
  <si>
    <t>Gizli Güçler</t>
  </si>
  <si>
    <t>https://youtu.be/QeXGj-AOqcY</t>
  </si>
  <si>
    <t>القارئ عبد الرحمن الماجد - سورة الفاتحة و آيات الرزق كل آية مكررة 3مرات رقية قوية بإذن الله</t>
  </si>
  <si>
    <t>youtu.be/Eo2P-MGH_FY</t>
  </si>
  <si>
    <t>ال</t>
  </si>
  <si>
    <t>youtu.be/bJyqJXCgcXw</t>
  </si>
  <si>
    <t>م</t>
  </si>
  <si>
    <t>youtu.be/1IMh51R7CFw</t>
  </si>
  <si>
    <t>ن</t>
  </si>
  <si>
    <t>https://tinyurl.com/huddam</t>
  </si>
  <si>
    <t>https://ebced.abdil.one/</t>
  </si>
  <si>
    <t>youtu.be/eyVoxNu-V6s</t>
  </si>
  <si>
    <t>ت</t>
  </si>
  <si>
    <t>youtu.be/I-WXavCKFQo</t>
  </si>
  <si>
    <t>ق</t>
  </si>
  <si>
    <t>youtu.be/K_qlwsIjXK0</t>
  </si>
  <si>
    <t>Sayfanın devamına böyle bağlantılar...</t>
  </si>
  <si>
    <t>https://dosya.org/dvcbd</t>
  </si>
  <si>
    <t>Dosyanın LibreOffice sürümü 🢡NEW!</t>
  </si>
  <si>
    <t>by the power of the grey skull !</t>
  </si>
  <si>
    <t>Bu sayfadan daha fazlasını yapabilirsin</t>
  </si>
  <si>
    <t>makroları kullan.</t>
  </si>
  <si>
    <t>Kelime</t>
  </si>
  <si>
    <t>Şedde Ayarı 🢡</t>
  </si>
  <si>
    <t>https://tinyurl.com/1v3fk için yardımcı not</t>
  </si>
  <si>
    <t>AÇIKLAMA</t>
  </si>
  <si>
    <t>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</si>
  <si>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Kendiniz için olağan kaideleriyle bir vefk hesaplatmak istediğinizde şu aşamaları takip etmelisiniz:</t>
  </si>
  <si>
    <t>1 – A2 hücresine arapça isminizi ve validenizin ismini erkekseniz isminiz BİN validenizin ismi; kadınsanız isminiz BİNTİ validenizin ismi şeklinde girersiniz.</t>
  </si>
  <si>
    <t>2 – B2 hücresinden geleneksel hesap yöntemi olan 1’i yani sağir ebced tablosunu seçmelisiniz.</t>
  </si>
  <si>
    <t>3 – B3 hücresinden şeddeli harfleri tek sefer hesaba katmak için 1; iki kere hesaplatmak için 2 girebilirsiniz.</t>
  </si>
  <si>
    <t>4 – A4’ten A16’ya kadar olan satırlara gireceğiniz her arapça metnin ebced değeri vefk’in toplamına eklenecektir. Buraya tek bir isim de girebilirsiniz ve gireceğiniz isimlerin ebced değeri Merkeze yazılacak ismin ebced değerinden daha fazla olabilse güzel olur.</t>
  </si>
  <si>
    <t>5 – H11 hücresindeki bast tekrar adedini erkekseniz 5’e kadınsanız 4’e ayarlarsınız.</t>
  </si>
  <si>
    <t>6 – H12 hücresinden yapacağınız çalışmanın içeriğine uygun olan vefk vazifelisi türünü seçebilirsiniz.</t>
  </si>
  <si>
    <t>7 – Hesaplanan vefki ve hüddam ismini niyetinizle birlikte iki kağıda aktarmalısınız; birisini katlayıp sürekli taşıyacaksınız; diğerini de okumalarınızı yaparken elinizde bulunduracaksınız.</t>
  </si>
  <si>
    <t>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</si>
  <si>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https://metatronslove.github.io/abjad/</t>
  </si>
  <si>
    <t>Arapça</t>
  </si>
  <si>
    <t>Mod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</si>
</sst>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6">
    <font>
      <sz val="10"/>
      <color rgb="FF000000"/>
      <name val="Arial"/>
      <charset val="1"/>
    </font>
    <font>
      <b/>
      <sz val="24"/>
      <color rgb="FF000000"/>
      <name val="Arial"/>
      <family val="2"/>
      <charset val="162"/>
    </font>
    <font>
      <b/>
      <i/>
      <u/>
      <sz val="10"/>
      <color rgb="FF000000"/>
      <name val="Arial"/>
      <family val="2"/>
      <charset val="162"/>
    </font>
    <font>
      <sz val="8"/>
      <color rgb="FFA64D79"/>
      <name val="Merriweather"/>
    </font>
    <font>
      <b/>
      <sz val="18"/>
      <color rgb="FF6AA84F"/>
      <name val="Merriweather"/>
    </font>
    <font>
      <b/>
      <sz val="12"/>
      <color rgb="FF6AA84F"/>
      <name val="Merriweather"/>
    </font>
    <font>
      <sz val="8"/>
      <color rgb="FF38761D"/>
      <name val="Comfortaa"/>
    </font>
    <font>
      <sz val="14"/>
      <color rgb="FF000000"/>
      <name val="Arial"/>
      <family val="2"/>
      <charset val="162"/>
    </font>
    <font>
      <b/>
      <sz val="10"/>
      <color rgb="FFC27BA0"/>
      <name val="Merriweather"/>
    </font>
    <font>
      <b/>
      <sz val="8"/>
      <color rgb="FFC27BA0"/>
      <name val="Merriweather"/>
    </font>
    <font>
      <b/>
      <sz val="8"/>
      <color rgb="FFA64D79"/>
      <name val="Merriweather"/>
    </font>
    <font>
      <sz val="18"/>
      <color rgb="FF38761D"/>
      <name val="Lobster"/>
    </font>
    <font>
      <sz val="18"/>
      <color rgb="FF38761D"/>
      <name val="Comfortaa"/>
    </font>
    <font>
      <sz val="11"/>
      <color rgb="FF7E3794"/>
      <name val="Arial"/>
      <family val="2"/>
      <charset val="162"/>
    </font>
    <font>
      <sz val="18"/>
      <color rgb="FF0B5394"/>
      <name val="Lobster"/>
    </font>
    <font>
      <b/>
      <sz val="6"/>
      <color rgb="FF38761D"/>
      <name val="Merriweather"/>
    </font>
    <font>
      <sz val="12"/>
      <color rgb="FF000080"/>
      <name val="Merriweather"/>
    </font>
    <font>
      <sz val="14"/>
      <color rgb="FF0B5394"/>
      <name val="Arial"/>
      <family val="2"/>
    </font>
    <font>
      <sz val="18"/>
      <color rgb="FF9FC5E8"/>
      <name val="Lobster"/>
    </font>
    <font>
      <sz val="18"/>
      <color rgb="FFCC0000"/>
      <name val="Arial"/>
      <family val="2"/>
      <charset val="162"/>
    </font>
    <font>
      <b/>
      <sz val="18"/>
      <color rgb="FFE06666"/>
      <name val="Arial"/>
      <family val="2"/>
      <charset val="162"/>
    </font>
    <font>
      <b/>
      <sz val="18"/>
      <color rgb="FF0B5394"/>
      <name val="Arial"/>
      <family val="2"/>
      <charset val="162"/>
    </font>
    <font>
      <b/>
      <u/>
      <sz val="10"/>
      <color rgb="FF530260"/>
      <name val="Arial"/>
      <family val="2"/>
      <charset val="162"/>
    </font>
    <font>
      <b/>
      <sz val="18"/>
      <color rgb="FFE69138"/>
      <name val="Arial"/>
      <family val="2"/>
      <charset val="162"/>
    </font>
    <font>
      <sz val="10"/>
      <color rgb="FFA64D79"/>
      <name val="Merriweather"/>
    </font>
    <font>
      <sz val="10"/>
      <color rgb="FF0B5394"/>
      <name val="Lobster"/>
    </font>
    <font>
      <b/>
      <sz val="10"/>
      <color rgb="FF6AA84F"/>
      <name val="Merriweather"/>
    </font>
    <font>
      <sz val="10"/>
      <color rgb="FF000080"/>
      <name val="Arial"/>
      <family val="2"/>
      <charset val="162"/>
    </font>
    <font>
      <sz val="10"/>
      <color rgb="FF0B5394"/>
      <name val="Arial"/>
      <family val="2"/>
      <charset val="162"/>
    </font>
    <font>
      <b/>
      <sz val="6"/>
      <color rgb="FF6AA84F"/>
      <name val="Merriweather"/>
    </font>
    <font>
      <sz val="18"/>
      <color rgb="FF000000"/>
      <name val="Arial"/>
      <family val="2"/>
      <charset val="162"/>
    </font>
    <font>
      <b/>
      <sz val="18"/>
      <color rgb="FF38761D"/>
      <name val="Arial"/>
      <family val="2"/>
      <charset val="162"/>
    </font>
    <font>
      <sz val="10"/>
      <color rgb="FFB6D7A8"/>
      <name val="Verdana"/>
      <family val="2"/>
      <charset val="162"/>
    </font>
    <font>
      <sz val="18"/>
      <color rgb="FF3C78D8"/>
      <name val="Verdana"/>
      <family val="2"/>
      <charset val="162"/>
    </font>
    <font>
      <sz val="10"/>
      <color rgb="FF38761D"/>
      <name val="Arial"/>
      <family val="2"/>
      <charset val="162"/>
    </font>
    <font>
      <b/>
      <sz val="12"/>
      <color rgb="FF38761D"/>
      <name val="Merriweather"/>
    </font>
    <font>
      <b/>
      <sz val="14"/>
      <color rgb="FF38761D"/>
      <name val="Lobster"/>
    </font>
    <font>
      <b/>
      <sz val="7"/>
      <color rgb="FF38761D"/>
      <name val="Merriweather"/>
    </font>
    <font>
      <u/>
      <sz val="9"/>
      <color rgb="FF6D9EEB"/>
      <name val="Comfortaa"/>
    </font>
    <font>
      <b/>
      <sz val="9"/>
      <color rgb="FF6D9EEB"/>
      <name val="Comfortaa"/>
    </font>
    <font>
      <b/>
      <sz val="7"/>
      <color rgb="FFE06666"/>
      <name val="Comfortaa"/>
    </font>
    <font>
      <u/>
      <sz val="9"/>
      <color rgb="FF6D9EEB"/>
      <name val="Arial"/>
      <family val="2"/>
      <charset val="162"/>
    </font>
    <font>
      <b/>
      <u/>
      <sz val="9"/>
      <color rgb="FF1155CC"/>
      <name val="Comfortaa"/>
    </font>
    <font>
      <sz val="11"/>
      <color rgb="FF000000"/>
      <name val="Arial"/>
      <family val="2"/>
      <charset val="162"/>
    </font>
    <font>
      <u/>
      <sz val="11"/>
      <color rgb="FF0000FF"/>
      <name val="Cambria"/>
    </font>
    <font>
      <sz val="11"/>
      <color rgb="FF000000"/>
      <name val="Arial"/>
      <family val="2"/>
      <charset val="162"/>
    </font>
    <font>
      <i/>
      <sz val="11"/>
      <color rgb="FF000000"/>
      <name val="Merriweather"/>
    </font>
    <font>
      <sz val="36"/>
      <color rgb="FF741B47"/>
      <name val="Arial"/>
      <family val="2"/>
      <charset val="162"/>
    </font>
    <font>
      <u/>
      <sz val="11"/>
      <color rgb="FF1155CC"/>
      <name val="Arial"/>
      <family val="2"/>
      <charset val="162"/>
    </font>
    <font>
      <u/>
      <sz val="11"/>
      <color rgb="FF0000FF"/>
      <name val="Arial"/>
      <family val="2"/>
      <charset val="162"/>
    </font>
    <font>
      <u/>
      <sz val="11"/>
      <color rgb="FF1155CC"/>
      <name val="Cambria"/>
    </font>
    <font>
      <b/>
      <sz val="14"/>
      <color rgb="FF000000"/>
      <name val="Arial"/>
      <family val="2"/>
      <charset val="162"/>
    </font>
    <font>
      <b/>
      <u/>
      <sz val="12"/>
      <color rgb="FF1155CC"/>
      <name val="Cambria"/>
    </font>
    <font>
      <u/>
      <sz val="18"/>
      <color rgb="FF0000FF"/>
      <name val="Cambria"/>
    </font>
    <font>
      <sz val="6"/>
      <color rgb="FF000000"/>
      <name val="Arial"/>
      <family val="2"/>
      <charset val="162"/>
    </font>
    <font>
      <sz val="10"/>
      <color rgb="FF000000"/>
      <name val="Arial"/>
      <family val="2"/>
      <charset val="162"/>
    </font>
    <font>
      <sz val="14"/>
      <color rgb="FF0B5394"/>
      <name val="Arial"/>
      <family val="2"/>
      <charset val="162"/>
    </font>
    <font>
      <sz val="10"/>
      <color rgb="FF0B5394"/>
      <name val="Arial"/>
      <family val="2"/>
      <charset val="162"/>
    </font>
    <font>
      <sz val="12"/>
      <color rgb="FF000000"/>
      <name val="Arial"/>
      <family val="2"/>
      <charset val="162"/>
    </font>
    <font>
      <u/>
      <sz val="11"/>
      <color rgb="FF000080"/>
      <name val="Merriweather"/>
      <charset val="1"/>
    </font>
    <font>
      <u/>
      <sz val="11"/>
      <color rgb="FF000000"/>
      <name val="Merriweather"/>
      <charset val="1"/>
    </font>
    <font>
      <sz val="10"/>
      <color rgb="FF000000"/>
      <name val="Calibri"/>
      <family val="2"/>
      <charset val="162"/>
      <scheme val="minor"/>
    </font>
    <font>
      <sz val="12"/>
      <color rgb="FF6AA84F"/>
      <name val="Arial"/>
      <family val="2"/>
    </font>
    <font>
      <sz val="12"/>
      <color theme="8" tint="-0.499984740745262"/>
      <name val="Arial"/>
      <family val="2"/>
      <charset val="162"/>
    </font>
    <font>
      <b/>
      <sz val="10"/>
      <color rgb="FF6AA84F"/>
      <name val="Lobster"/>
      <charset val="162"/>
    </font>
    <font>
      <b/>
      <sz val="10"/>
      <color rgb="FFE69138"/>
      <name val="Arial"/>
      <family val="2"/>
      <charset val="162"/>
    </font>
  </fonts>
  <fills count="13">
    <fill>
      <patternFill patternType="none"/>
    </fill>
    <fill>
      <patternFill patternType="gray125"/>
    </fill>
    <fill>
      <patternFill patternType="solid">
        <fgColor rgb="FFEAD1DC"/>
        <bgColor rgb="FFF4CCCC"/>
      </patternFill>
    </fill>
    <fill>
      <patternFill patternType="solid">
        <fgColor rgb="FFFFFFFF"/>
        <bgColor rgb="FFF5F5F5"/>
      </patternFill>
    </fill>
    <fill>
      <patternFill patternType="solid">
        <fgColor rgb="FFD9EAD3"/>
        <bgColor rgb="FFDBE8F3"/>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
      <patternFill patternType="solid">
        <fgColor theme="0"/>
        <bgColor rgb="FFD9EAD3"/>
      </patternFill>
    </fill>
  </fills>
  <borders count="24">
    <border>
      <left/>
      <right/>
      <top/>
      <bottom/>
      <diagonal/>
    </border>
    <border>
      <left style="thick">
        <color rgb="FFD9EAD3"/>
      </left>
      <right/>
      <top/>
      <bottom/>
      <diagonal/>
    </border>
    <border>
      <left style="thick">
        <color rgb="FFCFE2F3"/>
      </left>
      <right style="thick">
        <color rgb="FFCFE2F3"/>
      </right>
      <top style="thick">
        <color rgb="FFCFE2F3"/>
      </top>
      <bottom style="thick">
        <color rgb="FFCFE2F3"/>
      </bottom>
      <diagonal/>
    </border>
    <border>
      <left/>
      <right style="thick">
        <color rgb="FFD9EAD3"/>
      </right>
      <top style="thick">
        <color rgb="FFD9EAD3"/>
      </top>
      <bottom style="thick">
        <color rgb="FFD9EAD3"/>
      </bottom>
      <diagonal/>
    </border>
    <border>
      <left style="thick">
        <color rgb="FFD9EAD3"/>
      </left>
      <right style="thick">
        <color rgb="FFD9EAD3"/>
      </right>
      <top style="thick">
        <color rgb="FFD9EAD3"/>
      </top>
      <bottom style="thick">
        <color rgb="FFD9EAD3"/>
      </bottom>
      <diagonal/>
    </border>
    <border>
      <left style="thick">
        <color rgb="FFCFE2F3"/>
      </left>
      <right style="thick">
        <color rgb="FFCFE2F3"/>
      </right>
      <top style="thick">
        <color rgb="FFCFE2F3"/>
      </top>
      <bottom/>
      <diagonal/>
    </border>
    <border>
      <left/>
      <right style="thick">
        <color rgb="FFCFE2F3"/>
      </right>
      <top style="thick">
        <color rgb="FFCFE2F3"/>
      </top>
      <bottom style="thick">
        <color rgb="FFCFE2F3"/>
      </bottom>
      <diagonal/>
    </border>
    <border>
      <left/>
      <right style="thick">
        <color rgb="FFD9EAD3"/>
      </right>
      <top style="thick">
        <color rgb="FFD9EAD3"/>
      </top>
      <bottom/>
      <diagonal/>
    </border>
    <border>
      <left style="thick">
        <color rgb="FFD9EAD3"/>
      </left>
      <right style="thick">
        <color rgb="FFD9EAD3"/>
      </right>
      <top style="thick">
        <color rgb="FFD9EAD3"/>
      </top>
      <bottom/>
      <diagonal/>
    </border>
    <border>
      <left/>
      <right/>
      <top style="thick">
        <color rgb="FFD9EAD3"/>
      </top>
      <bottom style="thick">
        <color rgb="FFD9EAD3"/>
      </bottom>
      <diagonal/>
    </border>
    <border>
      <left style="thick">
        <color rgb="FFCFE2F3"/>
      </left>
      <right style="thick">
        <color rgb="FFC9DAF8"/>
      </right>
      <top/>
      <bottom style="thick">
        <color rgb="FFC9DAF8"/>
      </bottom>
      <diagonal/>
    </border>
    <border>
      <left style="thick">
        <color rgb="FFC9DAF8"/>
      </left>
      <right style="thick">
        <color rgb="FFCFE2F3"/>
      </right>
      <top/>
      <bottom/>
      <diagonal/>
    </border>
    <border>
      <left style="thick">
        <color rgb="FFCFE2F3"/>
      </left>
      <right/>
      <top style="thick">
        <color rgb="FFC9DAF8"/>
      </top>
      <bottom/>
      <diagonal/>
    </border>
    <border>
      <left/>
      <right style="thick">
        <color rgb="FFC9DAF8"/>
      </right>
      <top style="thick">
        <color rgb="FFC9DAF8"/>
      </top>
      <bottom/>
      <diagonal/>
    </border>
    <border>
      <left style="thin">
        <color rgb="FFF4CCCC"/>
      </left>
      <right style="thin">
        <color rgb="FFF4CCCC"/>
      </right>
      <top style="thin">
        <color rgb="FFF4CCCC"/>
      </top>
      <bottom style="thin">
        <color rgb="FFF4CCCC"/>
      </bottom>
      <diagonal/>
    </border>
    <border>
      <left style="thin">
        <color rgb="FFF4CCCC"/>
      </left>
      <right/>
      <top style="thin">
        <color rgb="FFF4CCCC"/>
      </top>
      <bottom style="thin">
        <color rgb="FFF4CCCC"/>
      </bottom>
      <diagonal/>
    </border>
    <border>
      <left style="thick">
        <color rgb="FFFFFFFF"/>
      </left>
      <right style="thick">
        <color rgb="FFFFFFFF"/>
      </right>
      <top style="thick">
        <color rgb="FFFFFFFF"/>
      </top>
      <bottom style="thick">
        <color rgb="FFFFFFFF"/>
      </bottom>
      <diagonal/>
    </border>
    <border>
      <left style="thick">
        <color auto="1"/>
      </left>
      <right style="thick">
        <color rgb="FFFFFFFF"/>
      </right>
      <top style="thick">
        <color auto="1"/>
      </top>
      <bottom style="thick">
        <color rgb="FFFFFFFF"/>
      </bottom>
      <diagonal/>
    </border>
    <border>
      <left style="thick">
        <color rgb="FFFFFFFF"/>
      </left>
      <right style="thick">
        <color auto="1"/>
      </right>
      <top style="thick">
        <color auto="1"/>
      </top>
      <bottom style="thick">
        <color rgb="FFFFFFFF"/>
      </bottom>
      <diagonal/>
    </border>
    <border>
      <left style="thick">
        <color auto="1"/>
      </left>
      <right style="thick">
        <color rgb="FFFFFFFF"/>
      </right>
      <top style="thick">
        <color rgb="FFFFFFFF"/>
      </top>
      <bottom style="thick">
        <color rgb="FFFFFFFF"/>
      </bottom>
      <diagonal/>
    </border>
    <border>
      <left style="thick">
        <color rgb="FFFFFFFF"/>
      </left>
      <right style="thick">
        <color auto="1"/>
      </right>
      <top style="thick">
        <color rgb="FFFFFFFF"/>
      </top>
      <bottom style="thick">
        <color rgb="FFFFFFFF"/>
      </bottom>
      <diagonal/>
    </border>
    <border>
      <left style="thick">
        <color auto="1"/>
      </left>
      <right style="thick">
        <color rgb="FFFFFFFF"/>
      </right>
      <top style="thick">
        <color rgb="FFFFFFFF"/>
      </top>
      <bottom style="thick">
        <color auto="1"/>
      </bottom>
      <diagonal/>
    </border>
    <border>
      <left style="thick">
        <color rgb="FFFFFFFF"/>
      </left>
      <right style="thick">
        <color auto="1"/>
      </right>
      <top style="thick">
        <color rgb="FFFFFFFF"/>
      </top>
      <bottom style="thick">
        <color auto="1"/>
      </bottom>
      <diagonal/>
    </border>
    <border>
      <left style="thick">
        <color rgb="FFD9EAD3"/>
      </left>
      <right/>
      <top style="thick">
        <color rgb="FFD9EAD3"/>
      </top>
      <bottom style="thick">
        <color rgb="FFD9EAD3"/>
      </bottom>
      <diagonal/>
    </border>
  </borders>
  <cellStyleXfs count="3">
    <xf numFmtId="0" fontId="0" fillId="0" borderId="0"/>
    <xf numFmtId="0" fontId="1" fillId="0" borderId="0" applyBorder="0" applyProtection="0"/>
    <xf numFmtId="0" fontId="2" fillId="0" borderId="0" applyBorder="0" applyProtection="0"/>
  </cellStyleXfs>
  <cellXfs count="100">
    <xf numFmtId="0" fontId="0" fillId="0" borderId="0" xfId="0"/>
    <xf numFmtId="0" fontId="4" fillId="3" borderId="1" xfId="0" applyFont="1" applyFill="1" applyBorder="1" applyAlignment="1">
      <alignment horizontal="center" vertical="center" wrapText="1"/>
    </xf>
    <xf numFmtId="0" fontId="6" fillId="5" borderId="0" xfId="0" applyFont="1" applyFill="1" applyAlignment="1">
      <alignment horizontal="center" vertical="center" wrapText="1"/>
    </xf>
    <xf numFmtId="0" fontId="7" fillId="0" borderId="0" xfId="0" applyFont="1" applyAlignment="1">
      <alignment horizontal="center" vertical="center"/>
    </xf>
    <xf numFmtId="0" fontId="8" fillId="2" borderId="2" xfId="0" applyFont="1" applyFill="1" applyBorder="1" applyAlignment="1">
      <alignment horizontal="center" vertical="center"/>
    </xf>
    <xf numFmtId="0" fontId="9" fillId="2" borderId="2"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3" fillId="0" borderId="0" xfId="0" applyFont="1"/>
    <xf numFmtId="0" fontId="14" fillId="3" borderId="2" xfId="0" applyFont="1" applyFill="1" applyBorder="1" applyAlignment="1">
      <alignment horizontal="center" vertical="center"/>
    </xf>
    <xf numFmtId="0" fontId="14" fillId="6" borderId="2" xfId="0" applyFont="1" applyFill="1" applyBorder="1" applyAlignment="1">
      <alignment horizontal="center" vertical="center"/>
    </xf>
    <xf numFmtId="0" fontId="15" fillId="6" borderId="2" xfId="0" applyFont="1" applyFill="1" applyBorder="1" applyAlignment="1">
      <alignment horizontal="center" vertical="center" wrapText="1"/>
    </xf>
    <xf numFmtId="0" fontId="16" fillId="3" borderId="2" xfId="0" applyFont="1" applyFill="1" applyBorder="1" applyAlignment="1">
      <alignment horizontal="center" vertical="top"/>
    </xf>
    <xf numFmtId="0" fontId="8" fillId="2" borderId="5" xfId="0" applyFont="1" applyFill="1" applyBorder="1" applyAlignment="1">
      <alignment horizontal="center" vertical="center"/>
    </xf>
    <xf numFmtId="0" fontId="17" fillId="3" borderId="2" xfId="0" applyFont="1" applyFill="1" applyBorder="1" applyAlignment="1">
      <alignment horizontal="right" vertical="center" wrapText="1"/>
    </xf>
    <xf numFmtId="0" fontId="18" fillId="7" borderId="6" xfId="0" applyFont="1" applyFill="1" applyBorder="1" applyAlignment="1">
      <alignment horizontal="center" vertical="center"/>
    </xf>
    <xf numFmtId="0" fontId="18" fillId="7" borderId="2" xfId="0" applyFont="1" applyFill="1" applyBorder="1" applyAlignment="1">
      <alignment horizontal="center" vertical="center"/>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20" fillId="4" borderId="4" xfId="0" applyFont="1" applyFill="1" applyBorder="1" applyAlignment="1">
      <alignment horizontal="center"/>
    </xf>
    <xf numFmtId="0" fontId="21" fillId="4" borderId="3" xfId="0" applyFont="1" applyFill="1" applyBorder="1" applyAlignment="1">
      <alignment horizontal="center" vertical="top"/>
    </xf>
    <xf numFmtId="0" fontId="23" fillId="4" borderId="4" xfId="0" applyFont="1" applyFill="1" applyBorder="1" applyAlignment="1">
      <alignment horizontal="center" vertical="top"/>
    </xf>
    <xf numFmtId="0" fontId="24" fillId="2" borderId="4" xfId="0" applyFont="1" applyFill="1" applyBorder="1" applyAlignment="1">
      <alignment horizontal="center" vertical="center" wrapText="1"/>
    </xf>
    <xf numFmtId="0" fontId="25" fillId="3" borderId="4" xfId="0" applyFont="1" applyFill="1" applyBorder="1" applyAlignment="1">
      <alignment horizontal="center" vertical="center" wrapText="1"/>
    </xf>
    <xf numFmtId="0" fontId="26" fillId="4" borderId="4" xfId="0" applyFont="1" applyFill="1" applyBorder="1" applyAlignment="1">
      <alignment horizontal="center" vertical="center" wrapText="1"/>
    </xf>
    <xf numFmtId="0" fontId="27" fillId="3" borderId="3" xfId="0" applyFont="1" applyFill="1" applyBorder="1" applyAlignment="1">
      <alignment horizontal="center" vertical="center"/>
    </xf>
    <xf numFmtId="0" fontId="28" fillId="3" borderId="4"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30" fillId="4" borderId="4" xfId="0" applyFont="1" applyFill="1" applyBorder="1" applyAlignment="1">
      <alignment horizontal="right" vertical="center" wrapText="1"/>
    </xf>
    <xf numFmtId="0" fontId="30" fillId="4" borderId="4" xfId="0" applyFont="1" applyFill="1" applyBorder="1" applyAlignment="1">
      <alignment horizontal="left" vertical="center" wrapText="1"/>
    </xf>
    <xf numFmtId="0" fontId="33" fillId="4" borderId="9" xfId="0" applyFont="1" applyFill="1" applyBorder="1" applyAlignment="1">
      <alignment horizontal="center" vertical="center" wrapText="1"/>
    </xf>
    <xf numFmtId="0" fontId="33" fillId="4" borderId="4" xfId="0" applyFont="1" applyFill="1" applyBorder="1" applyAlignment="1">
      <alignment horizontal="center" vertical="center" wrapText="1"/>
    </xf>
    <xf numFmtId="0" fontId="35" fillId="4" borderId="2" xfId="0" applyFont="1" applyFill="1" applyBorder="1" applyAlignment="1">
      <alignment horizontal="center" vertical="center"/>
    </xf>
    <xf numFmtId="0" fontId="36"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37" fillId="4" borderId="2" xfId="0" applyFont="1" applyFill="1" applyBorder="1" applyAlignment="1">
      <alignment horizontal="center" vertical="center" wrapText="1"/>
    </xf>
    <xf numFmtId="0" fontId="40" fillId="10" borderId="0" xfId="0" applyFont="1" applyFill="1" applyAlignment="1">
      <alignment horizontal="center" vertical="center" wrapText="1"/>
    </xf>
    <xf numFmtId="0" fontId="42" fillId="11" borderId="13" xfId="0" applyFont="1" applyFill="1" applyBorder="1" applyAlignment="1">
      <alignment horizontal="left" vertical="top" wrapText="1"/>
    </xf>
    <xf numFmtId="0" fontId="43" fillId="0" borderId="0" xfId="0" applyFont="1" applyAlignment="1">
      <alignment horizontal="center" vertical="center"/>
    </xf>
    <xf numFmtId="0" fontId="44" fillId="8" borderId="14" xfId="0" applyFont="1" applyFill="1" applyBorder="1" applyAlignment="1">
      <alignment horizontal="left" vertical="center"/>
    </xf>
    <xf numFmtId="0" fontId="45" fillId="8" borderId="14" xfId="0" applyFont="1" applyFill="1" applyBorder="1" applyAlignment="1">
      <alignment horizontal="center" vertical="center"/>
    </xf>
    <xf numFmtId="0" fontId="45" fillId="8" borderId="14" xfId="0" applyFont="1" applyFill="1" applyBorder="1" applyAlignment="1">
      <alignment vertical="center"/>
    </xf>
    <xf numFmtId="0" fontId="45" fillId="8" borderId="14" xfId="0" applyFont="1" applyFill="1" applyBorder="1" applyAlignment="1"/>
    <xf numFmtId="0" fontId="45" fillId="0" borderId="0" xfId="0" applyFont="1" applyAlignment="1">
      <alignment horizontal="left" vertical="center"/>
    </xf>
    <xf numFmtId="0" fontId="45" fillId="0" borderId="0" xfId="0" applyFont="1" applyAlignment="1">
      <alignment horizontal="center" vertical="center"/>
    </xf>
    <xf numFmtId="0" fontId="30" fillId="0" borderId="0" xfId="0" applyFont="1" applyAlignment="1">
      <alignment horizontal="center" vertical="center"/>
    </xf>
    <xf numFmtId="0" fontId="50" fillId="0" borderId="0" xfId="0" applyFont="1" applyAlignment="1">
      <alignment horizontal="left" vertical="center"/>
    </xf>
    <xf numFmtId="0" fontId="44" fillId="0" borderId="0" xfId="0" applyFont="1" applyAlignment="1">
      <alignment vertical="center"/>
    </xf>
    <xf numFmtId="0" fontId="54" fillId="0" borderId="0" xfId="0" applyFont="1" applyAlignment="1">
      <alignment horizontal="center" vertical="center"/>
    </xf>
    <xf numFmtId="0" fontId="44" fillId="0" borderId="0" xfId="0" applyFont="1" applyAlignment="1">
      <alignment horizontal="left" vertical="center"/>
    </xf>
    <xf numFmtId="0" fontId="56" fillId="6" borderId="16" xfId="0" applyFont="1" applyFill="1" applyBorder="1" applyAlignment="1">
      <alignment horizontal="center" vertical="center" wrapText="1"/>
    </xf>
    <xf numFmtId="0" fontId="57" fillId="6" borderId="16" xfId="0" applyFont="1" applyFill="1" applyBorder="1" applyAlignment="1">
      <alignment horizontal="center" vertical="center" wrapText="1"/>
    </xf>
    <xf numFmtId="0" fontId="58" fillId="4" borderId="16" xfId="0" applyFont="1" applyFill="1" applyBorder="1" applyAlignment="1">
      <alignment horizontal="right" vertical="center" wrapText="1"/>
    </xf>
    <xf numFmtId="0" fontId="58" fillId="4" borderId="16" xfId="0" applyFont="1" applyFill="1" applyBorder="1" applyAlignment="1">
      <alignment horizontal="center" vertical="center" wrapText="1"/>
    </xf>
    <xf numFmtId="0" fontId="56" fillId="6" borderId="16" xfId="0" applyFont="1" applyFill="1" applyBorder="1" applyAlignment="1">
      <alignment horizontal="center" wrapText="1"/>
    </xf>
    <xf numFmtId="0" fontId="43" fillId="0" borderId="0" xfId="0" applyFont="1" applyAlignment="1">
      <alignment horizontal="right"/>
    </xf>
    <xf numFmtId="0" fontId="43" fillId="0" borderId="0" xfId="0" applyFont="1" applyAlignment="1">
      <alignment horizontal="center"/>
    </xf>
    <xf numFmtId="0" fontId="59" fillId="0" borderId="17" xfId="0" applyFont="1" applyBorder="1" applyAlignment="1">
      <alignment horizontal="center" wrapText="1"/>
    </xf>
    <xf numFmtId="0" fontId="43" fillId="0" borderId="18" xfId="0" applyFont="1" applyBorder="1"/>
    <xf numFmtId="0" fontId="59" fillId="0" borderId="19" xfId="0" applyFont="1" applyBorder="1" applyAlignment="1">
      <alignment horizontal="center" wrapText="1"/>
    </xf>
    <xf numFmtId="0" fontId="43" fillId="0" borderId="20" xfId="0" applyFont="1" applyBorder="1"/>
    <xf numFmtId="0" fontId="59" fillId="0" borderId="19" xfId="0" applyFont="1" applyBorder="1" applyAlignment="1">
      <alignment horizontal="left" wrapText="1"/>
    </xf>
    <xf numFmtId="0" fontId="59" fillId="0" borderId="19" xfId="0" applyFont="1" applyBorder="1" applyAlignment="1">
      <alignment horizontal="right" wrapText="1"/>
    </xf>
    <xf numFmtId="0" fontId="59" fillId="0" borderId="21" xfId="0" applyFont="1" applyBorder="1" applyAlignment="1">
      <alignment horizontal="left" wrapText="1"/>
    </xf>
    <xf numFmtId="0" fontId="43" fillId="0" borderId="22" xfId="0" applyFont="1" applyBorder="1"/>
    <xf numFmtId="0" fontId="59" fillId="0" borderId="0" xfId="0" applyFont="1" applyAlignment="1">
      <alignment horizontal="left" wrapText="1"/>
    </xf>
    <xf numFmtId="0" fontId="60" fillId="0" borderId="0" xfId="0" applyFont="1" applyAlignment="1">
      <alignment horizontal="left"/>
    </xf>
    <xf numFmtId="49" fontId="17" fillId="3" borderId="2" xfId="0" applyNumberFormat="1" applyFont="1" applyFill="1" applyBorder="1" applyAlignment="1">
      <alignment horizontal="right" vertical="center" wrapText="1"/>
    </xf>
    <xf numFmtId="0" fontId="30" fillId="0" borderId="0" xfId="0" applyFont="1"/>
    <xf numFmtId="0" fontId="3" fillId="2" borderId="0" xfId="0" applyFont="1" applyFill="1" applyBorder="1" applyAlignment="1">
      <alignment horizontal="center" vertical="center"/>
    </xf>
    <xf numFmtId="0" fontId="5" fillId="4" borderId="0" xfId="0" applyFont="1" applyFill="1" applyBorder="1" applyAlignment="1">
      <alignment horizontal="center" vertical="center" wrapText="1"/>
    </xf>
    <xf numFmtId="0" fontId="22" fillId="4" borderId="4" xfId="0" applyFont="1" applyFill="1" applyBorder="1" applyAlignment="1">
      <alignment horizontal="center" vertical="center"/>
    </xf>
    <xf numFmtId="0" fontId="32" fillId="4" borderId="9" xfId="0" applyFont="1" applyFill="1" applyBorder="1" applyAlignment="1">
      <alignment horizontal="right" vertical="center" wrapText="1"/>
    </xf>
    <xf numFmtId="0" fontId="62" fillId="4" borderId="4" xfId="0" applyFont="1" applyFill="1" applyBorder="1" applyAlignment="1">
      <alignment horizontal="center" vertical="center" wrapText="1"/>
    </xf>
    <xf numFmtId="0" fontId="34" fillId="4" borderId="2" xfId="0" applyFont="1" applyFill="1" applyBorder="1" applyAlignment="1">
      <alignment horizontal="center" vertical="center"/>
    </xf>
    <xf numFmtId="0" fontId="38" fillId="9" borderId="10" xfId="0" applyFont="1" applyFill="1" applyBorder="1" applyAlignment="1">
      <alignment horizontal="center" vertical="center" wrapText="1"/>
    </xf>
    <xf numFmtId="0" fontId="39" fillId="10" borderId="11" xfId="0" applyFont="1" applyFill="1" applyBorder="1" applyAlignment="1">
      <alignment horizontal="left" vertical="center" wrapText="1"/>
    </xf>
    <xf numFmtId="0" fontId="41" fillId="11" borderId="12" xfId="0" applyFont="1" applyFill="1" applyBorder="1" applyAlignment="1">
      <alignment horizontal="right" vertical="top" wrapText="1"/>
    </xf>
    <xf numFmtId="0" fontId="46" fillId="8" borderId="14" xfId="0" applyFont="1" applyFill="1" applyBorder="1" applyAlignment="1">
      <alignment horizontal="left" vertical="center"/>
    </xf>
    <xf numFmtId="0" fontId="47" fillId="8" borderId="14" xfId="0" applyFont="1" applyFill="1" applyBorder="1" applyAlignment="1">
      <alignment horizontal="center" vertical="center"/>
    </xf>
    <xf numFmtId="0" fontId="48" fillId="8" borderId="14" xfId="0" applyFont="1" applyFill="1" applyBorder="1" applyAlignment="1">
      <alignment vertical="center"/>
    </xf>
    <xf numFmtId="0" fontId="45" fillId="8" borderId="14" xfId="0" applyFont="1" applyFill="1" applyBorder="1" applyAlignment="1">
      <alignment horizontal="right" vertical="center"/>
    </xf>
    <xf numFmtId="0" fontId="49" fillId="8" borderId="14" xfId="0" applyFont="1" applyFill="1" applyBorder="1" applyAlignment="1"/>
    <xf numFmtId="0" fontId="48" fillId="8" borderId="14" xfId="0" applyFont="1" applyFill="1" applyBorder="1" applyAlignment="1"/>
    <xf numFmtId="0" fontId="51" fillId="0" borderId="0" xfId="0" applyFont="1" applyAlignment="1">
      <alignment horizontal="left" wrapText="1"/>
    </xf>
    <xf numFmtId="0" fontId="52" fillId="0" borderId="0" xfId="0" applyFont="1" applyBorder="1" applyAlignment="1">
      <alignment horizontal="center" vertical="center"/>
    </xf>
    <xf numFmtId="0" fontId="53" fillId="0" borderId="0" xfId="0" applyFont="1" applyBorder="1" applyAlignment="1">
      <alignment horizontal="center" vertical="center"/>
    </xf>
    <xf numFmtId="0" fontId="45" fillId="8" borderId="15" xfId="0" applyFont="1" applyFill="1" applyBorder="1" applyAlignment="1">
      <alignment horizontal="left" vertical="center"/>
    </xf>
    <xf numFmtId="0" fontId="56" fillId="6" borderId="16" xfId="0" applyFont="1" applyFill="1" applyBorder="1" applyAlignment="1">
      <alignment horizontal="center" vertical="center" wrapText="1"/>
    </xf>
    <xf numFmtId="0" fontId="31" fillId="4" borderId="23" xfId="0" applyFont="1" applyFill="1" applyBorder="1" applyAlignment="1">
      <alignment horizontal="center" vertical="center"/>
    </xf>
    <xf numFmtId="0" fontId="31" fillId="4" borderId="3" xfId="0" applyFont="1" applyFill="1" applyBorder="1" applyAlignment="1">
      <alignment horizontal="center" vertical="center"/>
    </xf>
    <xf numFmtId="0" fontId="63" fillId="12" borderId="9" xfId="0" applyFont="1" applyFill="1" applyBorder="1" applyAlignment="1">
      <alignment horizontal="center" vertical="center"/>
    </xf>
    <xf numFmtId="0" fontId="64" fillId="4" borderId="4" xfId="0" applyFont="1" applyFill="1" applyBorder="1" applyAlignment="1">
      <alignment horizontal="center" vertical="center" wrapText="1"/>
    </xf>
    <xf numFmtId="0" fontId="65" fillId="4" borderId="4" xfId="0" applyFont="1" applyFill="1" applyBorder="1" applyAlignment="1">
      <alignment horizontal="center" vertical="center" wrapText="1"/>
    </xf>
  </cellXfs>
  <cellStyles count="3">
    <cellStyle name="Başlık" xfId="1"/>
    <cellStyle name="Normal" xfId="0" builtinId="0"/>
    <cellStyle name="Sonuç" xfId="2"/>
  </cellStyles>
  <dxfs count="5">
    <dxf>
      <font>
        <b/>
      </font>
      <fill>
        <patternFill patternType="none"/>
      </fill>
    </dxf>
    <dxf>
      <font>
        <color rgb="FF000080"/>
        <name val="Arial"/>
      </font>
      <fill>
        <patternFill>
          <bgColor rgb="FFFFFFFF"/>
        </patternFill>
      </fill>
    </dxf>
    <dxf>
      <font>
        <color rgb="FFE06666"/>
        <name val="Arial"/>
      </font>
      <fill>
        <patternFill>
          <bgColor rgb="FFCFE2F3"/>
        </patternFill>
      </fill>
    </dxf>
    <dxf>
      <font>
        <color rgb="FFE06666"/>
        <name val="Arial"/>
      </font>
      <fill>
        <patternFill>
          <bgColor rgb="FFF4CCCC"/>
        </patternFill>
      </fill>
    </dxf>
    <dxf>
      <font>
        <color rgb="FF6AA84F"/>
        <name val="Arial"/>
      </font>
      <fill>
        <patternFill>
          <bgColor rgb="FFB7E1CD"/>
        </patternFill>
      </fill>
    </dxf>
  </dxfs>
  <tableStyles count="0" defaultTableStyle="TableStyleMedium2" defaultPivotStyle="PivotStyleLight16"/>
  <colors>
    <indexedColors>
      <rgbColor rgb="FF000000"/>
      <rgbColor rgb="FFFFFFFF"/>
      <rgbColor rgb="FFCC0000"/>
      <rgbColor rgb="FF00FF00"/>
      <rgbColor rgb="FF0000FF"/>
      <rgbColor rgb="FFF5F5F5"/>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D9EAD3"/>
      <rgbColor rgb="FFFCE5CD"/>
      <rgbColor rgb="FF9FC5E8"/>
      <rgbColor rgb="FFEAD1DC"/>
      <rgbColor rgb="FFB7E1CD"/>
      <rgbColor rgb="FFF4CCCC"/>
      <rgbColor rgb="FF3C78D8"/>
      <rgbColor rgb="FF33CCCC"/>
      <rgbColor rgb="FF99CC00"/>
      <rgbColor rgb="FFFFCC00"/>
      <rgbColor rgb="FFE69138"/>
      <rgbColor rgb="FFFF6600"/>
      <rgbColor rgb="FF666699"/>
      <rgbColor rgb="FFC27BA0"/>
      <rgbColor rgb="FF0B5394"/>
      <rgbColor rgb="FF6AA84F"/>
      <rgbColor rgb="FF003300"/>
      <rgbColor rgb="FF333300"/>
      <rgbColor rgb="FF993300"/>
      <rgbColor rgb="FFA64D79"/>
      <rgbColor rgb="FF333399"/>
      <rgbColor rgb="FF36363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sya.org/u6YL" TargetMode="External"/><Relationship Id="rId13" Type="http://schemas.openxmlformats.org/officeDocument/2006/relationships/hyperlink" Target="https://t.co/vEnJYs52YF" TargetMode="External"/><Relationship Id="rId18" Type="http://schemas.openxmlformats.org/officeDocument/2006/relationships/hyperlink" Target="https://t.co/mBtNFFIfgc" TargetMode="External"/><Relationship Id="rId3" Type="http://schemas.openxmlformats.org/officeDocument/2006/relationships/hyperlink" Target="https://github.com/metatronslove/abjad" TargetMode="External"/><Relationship Id="rId21" Type="http://schemas.openxmlformats.org/officeDocument/2006/relationships/vmlDrawing" Target="../drawings/vmlDrawing1.vml"/><Relationship Id="rId7" Type="http://schemas.openxmlformats.org/officeDocument/2006/relationships/hyperlink" Target="https://youtu.be/VLipc-argKU?fbclid=IwAR2m8-5KI7hdY6QEpl5NkSlpOvHVJoY8uzyKdHH98kev-PxlaIs4Ngy2DAo" TargetMode="External"/><Relationship Id="rId12" Type="http://schemas.openxmlformats.org/officeDocument/2006/relationships/hyperlink" Target="https://t.co/ekHkxld01Y" TargetMode="External"/><Relationship Id="rId17" Type="http://schemas.openxmlformats.org/officeDocument/2006/relationships/hyperlink" Target="https://t.co/dgQ6rpy6AR" TargetMode="External"/><Relationship Id="rId2" Type="http://schemas.openxmlformats.org/officeDocument/2006/relationships/hyperlink" Target="https://tinyurl.com/t3stc0d3" TargetMode="External"/><Relationship Id="rId16" Type="http://schemas.openxmlformats.org/officeDocument/2006/relationships/hyperlink" Target="https://ebced.abdil.one/" TargetMode="External"/><Relationship Id="rId20" Type="http://schemas.openxmlformats.org/officeDocument/2006/relationships/hyperlink" Target="https://dosya.org/dvcbd" TargetMode="External"/><Relationship Id="rId1" Type="http://schemas.openxmlformats.org/officeDocument/2006/relationships/hyperlink" Target="https://tinyurl.com/1v3fk" TargetMode="External"/><Relationship Id="rId6" Type="http://schemas.openxmlformats.org/officeDocument/2006/relationships/hyperlink" Target="https://tinyurl.com/lov3rs1on" TargetMode="External"/><Relationship Id="rId11" Type="http://schemas.openxmlformats.org/officeDocument/2006/relationships/hyperlink" Target="https://youtu.be/QeXGj-AOqcY" TargetMode="External"/><Relationship Id="rId5" Type="http://schemas.openxmlformats.org/officeDocument/2006/relationships/hyperlink" Target="https://youtu.be/NshtyrOF7M4?fbclid=IwAR1Q83dAGND5neqsezFjuwyS_EfNO8Xr6IYt0U83lhT4i0j_p6DEb8yJ_ik" TargetMode="External"/><Relationship Id="rId15" Type="http://schemas.openxmlformats.org/officeDocument/2006/relationships/hyperlink" Target="https://tinyurl.com/huddam" TargetMode="External"/><Relationship Id="rId10" Type="http://schemas.openxmlformats.org/officeDocument/2006/relationships/hyperlink" Target="https://go.abdil.one/6" TargetMode="External"/><Relationship Id="rId19" Type="http://schemas.openxmlformats.org/officeDocument/2006/relationships/hyperlink" Target="https://t.co/os7FQbP9ON" TargetMode="External"/><Relationship Id="rId4" Type="http://schemas.openxmlformats.org/officeDocument/2006/relationships/hyperlink" Target="https://fb.watch/8MsByqZqo5/" TargetMode="External"/><Relationship Id="rId9" Type="http://schemas.openxmlformats.org/officeDocument/2006/relationships/hyperlink" Target="https://youtu.be/LUtbXZ7gvj8?fbclid=IwAR0PEdXEe5MDOk9R8fH3H45Ymia29UacgCsoid1tPjxIsdhlvI6ZibJgyP4" TargetMode="External"/><Relationship Id="rId14" Type="http://schemas.openxmlformats.org/officeDocument/2006/relationships/hyperlink" Target="https://t.co/dr7f9H4yjn"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metatronslove.github.io/abjad/" TargetMode="External"/><Relationship Id="rId1" Type="http://schemas.openxmlformats.org/officeDocument/2006/relationships/hyperlink" Target="https://tinyurl.com/1v3f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AB1003"/>
  <sheetViews>
    <sheetView tabSelected="1" zoomScale="90" zoomScaleNormal="90" workbookViewId="0">
      <selection activeCell="K8" sqref="K8:K10"/>
    </sheetView>
  </sheetViews>
  <sheetFormatPr defaultColWidth="11.5703125" defaultRowHeight="12.75"/>
  <cols>
    <col min="1" max="1" width="26" customWidth="1"/>
    <col min="2" max="11" width="16" customWidth="1"/>
    <col min="12" max="12" width="17" customWidth="1"/>
    <col min="13" max="64" width="12.5703125" customWidth="1"/>
  </cols>
  <sheetData>
    <row r="1" spans="1:28" ht="26.1" customHeight="1">
      <c r="A1" s="75" t="s">
        <v>0</v>
      </c>
      <c r="B1" s="75"/>
      <c r="C1" s="75"/>
      <c r="D1" s="75"/>
      <c r="E1" s="75"/>
      <c r="F1" s="75"/>
      <c r="G1" s="1" t="s">
        <v>1</v>
      </c>
      <c r="H1" s="76" t="s">
        <v>2</v>
      </c>
      <c r="I1" s="76"/>
      <c r="J1" s="76"/>
      <c r="K1" s="2">
        <f>J2+I3+H4+G5</f>
        <v>8473</v>
      </c>
      <c r="L1" s="3"/>
      <c r="M1" s="3"/>
      <c r="N1" s="3"/>
      <c r="O1" s="3"/>
      <c r="P1" s="3"/>
      <c r="Q1" s="3"/>
      <c r="R1" s="3"/>
      <c r="S1" s="3"/>
      <c r="T1" s="3"/>
      <c r="U1" s="3"/>
      <c r="V1" s="3"/>
      <c r="W1" s="3"/>
      <c r="X1" s="3"/>
      <c r="Y1" s="3"/>
      <c r="Z1" s="3"/>
      <c r="AA1" s="3"/>
      <c r="AB1" s="3"/>
    </row>
    <row r="2" spans="1:28" ht="24.75" thickTop="1" thickBot="1">
      <c r="A2" s="4" t="s">
        <v>3</v>
      </c>
      <c r="B2" s="5" t="s">
        <v>4</v>
      </c>
      <c r="C2" s="5" t="s">
        <v>5</v>
      </c>
      <c r="D2" s="6" t="str">
        <f>IF(B3=5,"Harf Adedi","Ebced Değeri")</f>
        <v>Ebced Değeri</v>
      </c>
      <c r="E2" s="7" t="s">
        <v>6</v>
      </c>
      <c r="F2" s="7" t="s">
        <v>7</v>
      </c>
      <c r="G2" s="8">
        <f>IF(G1="A",ROUNDDOWN((D18-30)/4,0)+3,IF(G1="B",ROUNDDOWN((D18-30)/4,0)+IF(((D18-30)/4)-ROUNDDOWN((D18-30)/4,0)&gt;=3/4,1,0),IF(G1="C",ROUNDDOWN((D18-30)/4,0)+12+IF(((D18-30)/4)-ROUNDDOWN((D18-30)/4,0)&gt;=2/4,1,0),IF(G1="D",ROUNDDOWN((D18-30)/4,0)+15+IF(((D18-30)/4)-ROUNDDOWN((D18-30)/4,0)&gt;=1/4,1,0),))))</f>
        <v>2113</v>
      </c>
      <c r="H2" s="9">
        <f>IF(G1="A",ROUNDDOWN((D18-30)/4,0)+13+IF(((D18-30)/4)-ROUNDDOWN((D18-30)/4,0)&gt;=1/4,1,0),IF(G1="B",ROUNDDOWN((D18-30)/4,0)+11+IF(((D18-30)/4)-ROUNDDOWN((D18-30)/4,0)&gt;=1/4,1,0),IF(G1="C",ROUNDDOWN((D18-30)/4,0)+2+IF(((D18-30)/4)-ROUNDDOWN((D18-30)/4,0)&gt;=3/4,1,0),IF(G1="D",ROUNDDOWN((D18-30)/4,0)+4+IF(((D18-30)/4)-ROUNDDOWN((D18-30)/4,0)&gt;=3/4,1,0),))))</f>
        <v>2124</v>
      </c>
      <c r="I2" s="9">
        <f>IF(G1="A",ROUNDDOWN((D18-30)/4,0)+14+IF(((D18-30)/4)-ROUNDDOWN((D18-30)/4,0)&gt;=2/4,1,0),IF(G1="B",ROUNDDOWN((D18-30)/4,0)+7,IF(G1="C",ROUNDDOWN((D18-30)/4,0)+1,IF(G1="D",ROUNDDOWN((D18-30)/4,0)+8+IF(((D18-30)/4)-ROUNDDOWN((D18-30)/4,0)&gt;=2/4,1,0),))))</f>
        <v>2125</v>
      </c>
      <c r="J2" s="9">
        <f>IF(G1="A",ROUNDDOWN((D18-30)/4,0)+IF(((D18-30)/4)-ROUNDDOWN((D18-30)/4,0)&gt;=3/4,1,0),IF(G1="B",ROUNDDOWN((D18-30)/4,0)+12+IF(((D18-30)/4)-ROUNDDOWN((D18-30)/4,0)&gt;=2/4,1,0),IF(G1="C",ROUNDDOWN((D18-30)/4,0)+15+IF(((D18-30)/4)-ROUNDDOWN((D18-30)/4,0)&gt;=1/4,1,0),IF(G1="D",ROUNDDOWN((D18-30)/4,0)+3,))))</f>
        <v>2111</v>
      </c>
      <c r="K2" s="10">
        <f>SUM(G2:J2)</f>
        <v>8473</v>
      </c>
      <c r="L2" s="3"/>
      <c r="M2" s="11"/>
      <c r="N2" s="11"/>
      <c r="O2" s="11"/>
      <c r="P2" s="3"/>
      <c r="Q2" s="3"/>
      <c r="R2" s="3"/>
      <c r="S2" s="3"/>
      <c r="T2" s="3"/>
      <c r="U2" s="3"/>
      <c r="V2" s="3"/>
      <c r="W2" s="3"/>
      <c r="X2" s="3"/>
      <c r="Y2" s="3"/>
      <c r="Z2" s="3"/>
      <c r="AA2" s="3"/>
      <c r="AB2" s="3"/>
    </row>
    <row r="3" spans="1:28" ht="24.75" thickTop="1" thickBot="1">
      <c r="A3" s="73"/>
      <c r="B3" s="12">
        <v>1</v>
      </c>
      <c r="C3" s="12">
        <v>1</v>
      </c>
      <c r="D3" s="13">
        <f>_xlfn.NUMBERVALUE(IF(F3="Ekle",IF(A3="",0,IF(C3=1,ABJAD(SAF(A3,""),B3,C3),ABJAD(A3,B3,C3))),0))</f>
        <v>0</v>
      </c>
      <c r="E3" s="14" t="str">
        <f>IF(D3=0,"",TESBIH(D3,25,99,33))</f>
        <v/>
      </c>
      <c r="F3" s="15" t="s">
        <v>8</v>
      </c>
      <c r="G3" s="8">
        <f>IF(G1="A",ROUNDDOWN((D18-30)/4,0)+8+IF(((D18-30)/4)-ROUNDDOWN((D18-30)/4,0)&gt;=2/4,1,0),IF(G1="B",ROUNDDOWN((D18-30)/4,0)+14+IF(((D18-30)/4)-ROUNDDOWN((D18-30)/4,0)&gt;=2/4,1,0),IF(G1="C",ROUNDDOWN((D18-30)/4,0)+7,IF(G1="D",ROUNDDOWN((D18-30)/4,0)+1,))))</f>
        <v>2119</v>
      </c>
      <c r="H3" s="9">
        <f>IF(G1="A",ROUNDDOWN((D18-30)/4,0)+6+IF(((D18-30)/4)-ROUNDDOWN((D18-30)/4,0)&gt;=3/4,1,0),IF(G1="B",ROUNDDOWN((D18-30)/4,0)+5,IF(G1="C",ROUNDDOWN((D18-30)/4,0)+9+IF(((D18-30)/4)-ROUNDDOWN((D18-30)/4,0)&gt;=1/4,1,0),IF(G1="D",ROUNDDOWN((D18-30)/4,0)+10+IF(((D18-30)/4)-ROUNDDOWN((D18-30)/4,0)&gt;=2/4,1,0),))))</f>
        <v>2117</v>
      </c>
      <c r="I3" s="9">
        <f>IF(G1="A",ROUNDDOWN((D18-30)/4,0)+5,IF(G1="B",ROUNDDOWN((D18-30)/4,0)+9+IF(((D18-30)/4)-ROUNDDOWN((D18-30)/4,0)&gt;=1/4,1,0),IF(G1="C",ROUNDDOWN((D18-30)/4,0)+10+IF(((D18-30)/4)-ROUNDDOWN((D18-30)/4,0)&gt;=2/4,1,0),IF(G1="D",ROUNDDOWN((D18-30)/4,0)+6+IF(((D18-30)/4)-ROUNDDOWN((D18-30)/4,0)&gt;=3/4,1,0),))))</f>
        <v>2115</v>
      </c>
      <c r="J3" s="9">
        <f>IF(G1="A",ROUNDDOWN((D18-30)/4,0)+11+IF(((D18-30)/4)-ROUNDDOWN((D18-30)/4,0)&gt;=1/4,1,0),IF(G1="B",ROUNDDOWN((D18-30)/4,0)+2+IF(((D18-30)/4)-ROUNDDOWN((D18-30)/4,0)&gt;=3/4,1,0),IF(G1="C",ROUNDDOWN((D18-30)/4,0)+4+IF(((D18-30)/4)-ROUNDDOWN((D18-30)/4,0)&gt;=3/4,1,0),IF(G1="D",ROUNDDOWN((D18-30)/4,0)+13+IF(((D18-30)/4)-ROUNDDOWN((D18-30)/4,0)&gt;=1/4,1,0),))))</f>
        <v>2122</v>
      </c>
      <c r="K3" s="10">
        <f>SUM(G3:J3)</f>
        <v>8473</v>
      </c>
      <c r="L3" s="3"/>
      <c r="M3" s="3"/>
      <c r="N3" s="3"/>
      <c r="O3" s="3"/>
      <c r="P3" s="3"/>
      <c r="Q3" s="3"/>
      <c r="R3" s="3"/>
      <c r="S3" s="3"/>
      <c r="T3" s="3"/>
      <c r="U3" s="3"/>
      <c r="V3" s="3"/>
      <c r="W3" s="3"/>
      <c r="X3" s="3"/>
      <c r="Y3" s="3"/>
      <c r="Z3" s="3"/>
      <c r="AA3" s="3"/>
      <c r="AB3" s="3"/>
    </row>
    <row r="4" spans="1:28" ht="24.75" thickTop="1" thickBot="1">
      <c r="A4" s="16" t="s">
        <v>9</v>
      </c>
      <c r="B4" s="5" t="s">
        <v>4</v>
      </c>
      <c r="C4" s="5" t="s">
        <v>5</v>
      </c>
      <c r="D4" s="6" t="str">
        <f>IF(B3=5,"Harf Adedi","Ebced Değeri")</f>
        <v>Ebced Değeri</v>
      </c>
      <c r="E4" s="7" t="s">
        <v>6</v>
      </c>
      <c r="F4" s="7" t="s">
        <v>7</v>
      </c>
      <c r="G4" s="8">
        <f>IF(G1="A",ROUNDDOWN((D18-30)/4,0)+4+IF(((D18-30)/4)-ROUNDDOWN((D18-30)/4,0)&gt;=3/4,1,0),IF(G1="B",ROUNDDOWN((D18-30)/4,0)+13+IF(((D18-30)/4)-ROUNDDOWN((D18-30)/4,0)&gt;=1/4,1,0),IF(G1="C",ROUNDDOWN((D18-30)/4,0)+11+IF(((D18-30)/4)-ROUNDDOWN((D18-30)/4,0)&gt;=1/4,1,0),IF(G1="D",ROUNDDOWN((D18-30)/4,0)+2+IF(((D18-30)/4)-ROUNDDOWN((D18-30)/4,0)&gt;=3/4,1,0),))))</f>
        <v>2115</v>
      </c>
      <c r="H4" s="9">
        <f>IF(G1="A",ROUNDDOWN((D18-30)/4,0)+10+IF(((D18-30)/4)-ROUNDDOWN((D18-30)/4,0)&gt;=2/4,1,0),IF(G1="B",ROUNDDOWN((D18-30)/4,0)+6+IF(((D18-30)/4)-ROUNDDOWN((D18-30)/4,0)&gt;=3/4,1,0),IF(G1="C",ROUNDDOWN((D18-30)/4,0)+5,IF(G1="D",ROUNDDOWN((D18-30)/4,0)+9+IF(((D18-30)/4)-ROUNDDOWN((D18-30)/4,0)&gt;=1/4,1,0),))))</f>
        <v>2121</v>
      </c>
      <c r="I4" s="9">
        <f>IF(G1="A",ROUNDDOWN((D18-30)/4,0)+9+IF(((D18-30)/4)-ROUNDDOWN((D18-30)/4,0)&gt;=1/4,1,0),IF(G1="B",ROUNDDOWN((D18-30)/4,0)+10+IF(((D18-30)/4)-ROUNDDOWN((D18-30)/4,0)&gt;=2/4,1,0),IF(G1="C",ROUNDDOWN((D18-30)/4,0)+6+IF(((D18-30)/4)-ROUNDDOWN((D18-30)/4,0)&gt;=3/4,1,0),IF(G1="D",ROUNDDOWN((D18-30)/4,0)+5,))))</f>
        <v>2120</v>
      </c>
      <c r="J4" s="9">
        <f>IF(G1="A",ROUNDDOWN((D18-30)/4,0)+7,IF(G1="B",ROUNDDOWN((D18-30)/4,0)+1,IF(G1="C",ROUNDDOWN((D18-30)/4,0)+8+IF(((D18-30)/4)-ROUNDDOWN((D18-30)/4,0)&gt;=2/4,1,0),IF(G1="D",ROUNDDOWN((D18-30)/4,0)+14+IF(((D18-30)/4)-ROUNDDOWN((D18-30)/4,0)&gt;=2/4,1,0),))))</f>
        <v>2117</v>
      </c>
      <c r="K4" s="10">
        <f>SUM(G4:J4)</f>
        <v>8473</v>
      </c>
      <c r="L4" s="3"/>
      <c r="M4" s="3"/>
      <c r="N4" s="3"/>
      <c r="O4" s="3"/>
      <c r="P4" s="3"/>
      <c r="Q4" s="3"/>
      <c r="R4" s="3"/>
      <c r="S4" s="3"/>
      <c r="T4" s="3"/>
      <c r="U4" s="3"/>
      <c r="V4" s="3"/>
      <c r="W4" s="3"/>
      <c r="X4" s="3"/>
      <c r="Y4" s="3"/>
      <c r="Z4" s="3"/>
      <c r="AA4" s="3"/>
      <c r="AB4" s="3"/>
    </row>
    <row r="5" spans="1:28" ht="54">
      <c r="A5" s="73" t="s">
        <v>10</v>
      </c>
      <c r="B5" s="18">
        <f t="shared" ref="B5:B17" si="0">$B$3</f>
        <v>1</v>
      </c>
      <c r="C5" s="19">
        <f t="shared" ref="C5:C17" si="1">$C$3</f>
        <v>1</v>
      </c>
      <c r="D5" s="13">
        <f>IF(F5="Ekle",IF(A5="",0,IF(C5=1,ABJAD(SAF(A5,"",1),B5,C5),ABJAD(A5,B5,C5))),0)</f>
        <v>3388</v>
      </c>
      <c r="E5" s="14" t="str">
        <f>IF(D5=0,"",TESBIH(D5,25,99,33))</f>
        <v>[34 tur][22 kalan]</v>
      </c>
      <c r="F5" s="15" t="s">
        <v>8</v>
      </c>
      <c r="G5" s="8">
        <f>IF(G1="A",ROUNDDOWN((D18-30)/4,0)+15+IF(((D18-30)/4)-ROUNDDOWN((D18-30)/4,0)&gt;=1/4,1,0),IF(G1="B",ROUNDDOWN((D18-30)/4,0)+3,IF(G1="C",ROUNDDOWN((D18-30)/4,0)+IF(((D18-30)/4)-ROUNDDOWN((D18-30)/4,0)&gt;=3/4,1,0),IF(G1="D",ROUNDDOWN((D18-30)/4,0)+12+IF(((D18-30)/4)-ROUNDDOWN((D18-30)/4,0)&gt;=2/4,1,0),))))</f>
        <v>2126</v>
      </c>
      <c r="H5" s="9">
        <f>IF(G1="A",ROUNDDOWN((D18-30)/4,0)+1,IF(G1="B",ROUNDDOWN((D18-30)/4,0)+8+IF(((D18-30)/4)-ROUNDDOWN((D18-30)/4,0)&gt;=2/4,1,0),IF(G1="C",ROUNDDOWN((D18-30)/4,0)+14+IF(((D18-30)/4)-ROUNDDOWN((D18-30)/4,0)&gt;=2/4,1,0),IF(G1="D",ROUNDDOWN((D18-30)/4,0)+7,))))</f>
        <v>2111</v>
      </c>
      <c r="I5" s="9">
        <f>IF(G1="A",ROUNDDOWN((D18-30)/4,0)+2+IF(((D18-30)/4)-ROUNDDOWN((D18-30)/4,0)&gt;=3/4,1,0),IF(G1="B",ROUNDDOWN((D18-30)/4,0)+4+IF(((D18-30)/4)-ROUNDDOWN((D18-30)/4,0)&gt;=3/4,1,0),IF(G1="C",ROUNDDOWN((D18-30)/4,0)+13+IF(((D18-30)/4)-ROUNDDOWN((D18-30)/4,0)&gt;=1/4,1,0),IF(G1="D",ROUNDDOWN((D18-30)/4,0)+11+IF(((D18-30)/4)-ROUNDDOWN((D18-30)/4,0)&gt;=1/4,1,0),))))</f>
        <v>2113</v>
      </c>
      <c r="J5" s="9">
        <f>IF(G1="A",ROUNDDOWN((D18-30)/4,0)+12+IF(((D18-30)/4)-ROUNDDOWN((D18-30)/4,0)&gt;=2/4,1,0),IF(G1="B",ROUNDDOWN((D18-30)/4,0)+15+IF(((D18-30)/4)-ROUNDDOWN((D18-30)/4,0)&gt;=1/4,1,0),IF(G1="C",ROUNDDOWN((D18-30)/4,0)+3,IF(G1="D",ROUNDDOWN((D18-30)/4,0)+IF(((D18-30)/4)-ROUNDDOWN((D18-30)/4,0)&gt;=3/4,1,0),))))</f>
        <v>2123</v>
      </c>
      <c r="K5" s="10">
        <f>SUM(G5:J5)</f>
        <v>8473</v>
      </c>
      <c r="L5" s="3"/>
      <c r="M5" s="3"/>
      <c r="N5" s="3"/>
      <c r="O5" s="3"/>
      <c r="P5" s="3"/>
      <c r="Q5" s="3"/>
      <c r="R5" s="3"/>
      <c r="S5" s="3"/>
      <c r="T5" s="3"/>
      <c r="U5" s="3"/>
      <c r="V5" s="3"/>
      <c r="W5" s="3"/>
      <c r="X5" s="3"/>
      <c r="Y5" s="3"/>
      <c r="Z5" s="3"/>
      <c r="AA5" s="3"/>
      <c r="AB5" s="3"/>
    </row>
    <row r="6" spans="1:28" ht="54">
      <c r="A6" s="17" t="s">
        <v>11</v>
      </c>
      <c r="B6" s="18">
        <f t="shared" si="0"/>
        <v>1</v>
      </c>
      <c r="C6" s="19">
        <f t="shared" si="1"/>
        <v>1</v>
      </c>
      <c r="D6" s="13">
        <f t="shared" ref="D6:D17" si="2">_xlfn.NUMBERVALUE(IF(F6="Ekle",IF(A6="",0,IF(C6=1,ABJAD(SAF(A6,""),B6,C6),ABJAD(A6,B6,C6))),0))</f>
        <v>3639</v>
      </c>
      <c r="E6" s="14" t="str">
        <f>IF(D6=0,"",TESBIH(D6,25,99,33))</f>
        <v>[36 tur][2X33][9 kalan]</v>
      </c>
      <c r="F6" s="15" t="s">
        <v>8</v>
      </c>
      <c r="G6" s="20">
        <f>SUM(G2:G5)</f>
        <v>8473</v>
      </c>
      <c r="H6" s="21">
        <f>SUM(H2:H5)</f>
        <v>8473</v>
      </c>
      <c r="I6" s="21">
        <f>SUM(I2:I5)</f>
        <v>8473</v>
      </c>
      <c r="J6" s="21">
        <f>SUM(J2:J5)</f>
        <v>8473</v>
      </c>
      <c r="K6" s="22">
        <f>J5+I4+H3+G2</f>
        <v>8473</v>
      </c>
      <c r="L6" s="3"/>
      <c r="M6" s="3"/>
      <c r="N6" s="3"/>
      <c r="O6" s="3"/>
      <c r="P6" s="3"/>
      <c r="Q6" s="3"/>
      <c r="R6" s="3"/>
      <c r="S6" s="3"/>
      <c r="T6" s="3"/>
      <c r="U6" s="3"/>
      <c r="V6" s="3"/>
      <c r="W6" s="3"/>
      <c r="X6" s="3"/>
      <c r="Y6" s="3"/>
      <c r="Z6" s="3"/>
      <c r="AA6" s="3"/>
      <c r="AB6" s="3"/>
    </row>
    <row r="7" spans="1:28" ht="23.25">
      <c r="A7" s="17" t="s">
        <v>12</v>
      </c>
      <c r="B7" s="18">
        <f t="shared" si="0"/>
        <v>1</v>
      </c>
      <c r="C7" s="19">
        <f t="shared" si="1"/>
        <v>1</v>
      </c>
      <c r="D7" s="13">
        <f t="shared" si="2"/>
        <v>1446</v>
      </c>
      <c r="E7" s="14" t="str">
        <f>IF(D7=0,"",TESBIH(D7,25,99,33))</f>
        <v>[14 tur][1X33][27 kalan]</v>
      </c>
      <c r="F7" s="15" t="s">
        <v>8</v>
      </c>
      <c r="G7" s="23" t="str">
        <f t="shared" ref="G7:J10" si="3">NUMBERS2ARAB(G2)</f>
        <v>٢١١٣</v>
      </c>
      <c r="H7" s="24" t="str">
        <f t="shared" si="3"/>
        <v>٢١٢٤</v>
      </c>
      <c r="I7" s="24" t="str">
        <f t="shared" si="3"/>
        <v>٢١٢٥</v>
      </c>
      <c r="J7" s="24" t="str">
        <f t="shared" si="3"/>
        <v>٢١١١</v>
      </c>
      <c r="K7" s="25" t="s">
        <v>13</v>
      </c>
      <c r="L7" s="3"/>
      <c r="M7" s="3"/>
      <c r="N7" s="3"/>
      <c r="O7" s="3"/>
      <c r="P7" s="3"/>
      <c r="Q7" s="3"/>
      <c r="R7" s="3"/>
      <c r="S7" s="3"/>
      <c r="T7" s="3"/>
      <c r="U7" s="3"/>
      <c r="V7" s="3"/>
      <c r="W7" s="3"/>
      <c r="X7" s="3"/>
      <c r="Y7" s="3"/>
      <c r="Z7" s="3"/>
      <c r="AA7" s="3"/>
      <c r="AB7" s="3"/>
    </row>
    <row r="8" spans="1:28" ht="22.15" customHeight="1">
      <c r="A8" s="17"/>
      <c r="B8" s="18">
        <f t="shared" si="0"/>
        <v>1</v>
      </c>
      <c r="C8" s="19">
        <f t="shared" si="1"/>
        <v>1</v>
      </c>
      <c r="D8" s="13">
        <f t="shared" si="2"/>
        <v>0</v>
      </c>
      <c r="E8" s="14" t="str">
        <f>IF(D8=0,"",TESBIH(D8,25,99,33))</f>
        <v/>
      </c>
      <c r="F8" s="15" t="s">
        <v>8</v>
      </c>
      <c r="G8" s="23" t="str">
        <f t="shared" si="3"/>
        <v>٢١١٩</v>
      </c>
      <c r="H8" s="24" t="str">
        <f t="shared" si="3"/>
        <v>٢١١٧</v>
      </c>
      <c r="I8" s="24" t="str">
        <f t="shared" si="3"/>
        <v>٢١١٥</v>
      </c>
      <c r="J8" s="24" t="str">
        <f t="shared" si="3"/>
        <v>٢١٢٢</v>
      </c>
      <c r="K8" s="99" t="s">
        <v>14</v>
      </c>
      <c r="L8" s="3"/>
      <c r="M8" s="3"/>
      <c r="N8" s="3"/>
      <c r="O8" s="3"/>
      <c r="P8" s="3"/>
      <c r="Q8" s="3"/>
      <c r="R8" s="3"/>
      <c r="S8" s="3"/>
      <c r="T8" s="3"/>
      <c r="U8" s="3"/>
      <c r="V8" s="3"/>
      <c r="W8" s="3"/>
      <c r="X8" s="3"/>
      <c r="Y8" s="3"/>
      <c r="Z8" s="3"/>
      <c r="AA8" s="3"/>
      <c r="AB8" s="3"/>
    </row>
    <row r="9" spans="1:28" ht="23.25">
      <c r="A9" s="17"/>
      <c r="B9" s="18">
        <f t="shared" si="0"/>
        <v>1</v>
      </c>
      <c r="C9" s="19">
        <f t="shared" si="1"/>
        <v>1</v>
      </c>
      <c r="D9" s="13">
        <f t="shared" si="2"/>
        <v>0</v>
      </c>
      <c r="E9" s="14" t="str">
        <f>IF(D9=0,"",TESBIH(D9,25,99,33))</f>
        <v/>
      </c>
      <c r="F9" s="15" t="s">
        <v>8</v>
      </c>
      <c r="G9" s="23" t="str">
        <f t="shared" si="3"/>
        <v>٢١١٥</v>
      </c>
      <c r="H9" s="24" t="str">
        <f t="shared" si="3"/>
        <v>٢١٢١</v>
      </c>
      <c r="I9" s="24" t="str">
        <f t="shared" si="3"/>
        <v>٢١٢٠</v>
      </c>
      <c r="J9" s="24" t="str">
        <f t="shared" si="3"/>
        <v>٢١١٧</v>
      </c>
      <c r="K9" s="99"/>
      <c r="L9" s="3"/>
      <c r="M9" s="3"/>
      <c r="N9" s="3"/>
      <c r="O9" s="3"/>
      <c r="P9" s="3"/>
      <c r="Q9" s="3"/>
      <c r="R9" s="3"/>
      <c r="S9" s="3"/>
      <c r="T9" s="3"/>
      <c r="U9" s="3"/>
      <c r="V9" s="3"/>
      <c r="W9" s="3"/>
      <c r="X9" s="3"/>
      <c r="Y9" s="3"/>
      <c r="Z9" s="3"/>
      <c r="AA9" s="3"/>
      <c r="AB9" s="3"/>
    </row>
    <row r="10" spans="1:28" ht="24.75" thickTop="1" thickBot="1">
      <c r="A10" s="17"/>
      <c r="B10" s="18">
        <f t="shared" si="0"/>
        <v>1</v>
      </c>
      <c r="C10" s="19">
        <f t="shared" si="1"/>
        <v>1</v>
      </c>
      <c r="D10" s="13">
        <f t="shared" si="2"/>
        <v>0</v>
      </c>
      <c r="E10" s="14" t="str">
        <f>IF(D10=0,"",TESBIH(D10,25,99,33))</f>
        <v/>
      </c>
      <c r="F10" s="15" t="s">
        <v>8</v>
      </c>
      <c r="G10" s="23" t="str">
        <f t="shared" si="3"/>
        <v>٢١٢٦</v>
      </c>
      <c r="H10" s="24" t="str">
        <f t="shared" si="3"/>
        <v>٢١١١</v>
      </c>
      <c r="I10" s="24" t="str">
        <f t="shared" si="3"/>
        <v>٢١١٣</v>
      </c>
      <c r="J10" s="24" t="str">
        <f t="shared" si="3"/>
        <v>٢١٢٣</v>
      </c>
      <c r="K10" s="99"/>
      <c r="L10" s="3"/>
      <c r="M10" s="3"/>
      <c r="N10" s="3"/>
      <c r="O10" s="3"/>
      <c r="P10" s="3"/>
      <c r="Q10" s="3"/>
      <c r="R10" s="3"/>
      <c r="S10" s="3"/>
      <c r="T10" s="3"/>
      <c r="U10" s="3"/>
      <c r="V10" s="3"/>
      <c r="W10" s="3"/>
      <c r="X10" s="3"/>
      <c r="Y10" s="3"/>
      <c r="Z10" s="3"/>
      <c r="AA10" s="3"/>
      <c r="AB10" s="3"/>
    </row>
    <row r="11" spans="1:28" ht="24.75" thickTop="1" thickBot="1">
      <c r="A11" s="17"/>
      <c r="B11" s="18">
        <f t="shared" si="0"/>
        <v>1</v>
      </c>
      <c r="C11" s="19">
        <f t="shared" si="1"/>
        <v>1</v>
      </c>
      <c r="D11" s="13">
        <f t="shared" si="2"/>
        <v>0</v>
      </c>
      <c r="E11" s="14" t="str">
        <f>IF(D11=0,"",TESBIH(D11,25,99,33))</f>
        <v/>
      </c>
      <c r="F11" s="15" t="s">
        <v>8</v>
      </c>
      <c r="G11" s="26" t="s">
        <v>15</v>
      </c>
      <c r="H11" s="77" t="s">
        <v>16</v>
      </c>
      <c r="I11" s="77"/>
      <c r="J11" s="27" t="s">
        <v>17</v>
      </c>
      <c r="K11" s="30" t="s">
        <v>20</v>
      </c>
      <c r="L11" s="3"/>
      <c r="M11" s="3"/>
      <c r="N11" s="3"/>
      <c r="O11" s="3"/>
      <c r="P11" s="3"/>
      <c r="Q11" s="3"/>
      <c r="R11" s="3"/>
      <c r="S11" s="3"/>
      <c r="T11" s="3"/>
      <c r="U11" s="3"/>
      <c r="V11" s="3"/>
      <c r="W11" s="3"/>
      <c r="X11" s="3"/>
      <c r="Y11" s="3"/>
      <c r="Z11" s="3"/>
      <c r="AA11" s="3"/>
      <c r="AB11" s="3"/>
    </row>
    <row r="12" spans="1:28" ht="24.75" thickTop="1" thickBot="1">
      <c r="A12" s="17"/>
      <c r="B12" s="18">
        <f t="shared" si="0"/>
        <v>1</v>
      </c>
      <c r="C12" s="19">
        <f t="shared" si="1"/>
        <v>1</v>
      </c>
      <c r="D12" s="13">
        <f t="shared" si="2"/>
        <v>0</v>
      </c>
      <c r="E12" s="14" t="str">
        <f>IF(D12=0,"",TESBIH(D12,25,99,33))</f>
        <v/>
      </c>
      <c r="F12" s="15" t="s">
        <v>8</v>
      </c>
      <c r="G12" s="28" t="s">
        <v>18</v>
      </c>
      <c r="H12" s="28" t="s">
        <v>19</v>
      </c>
      <c r="I12" s="29">
        <v>5</v>
      </c>
      <c r="J12" s="98">
        <f>IF(C18="Toplam",BASTET(D18,I12,B3,C3,IF(G13="Arapça","ARABIC",IF(G13="Türkçe","TURKCE","HEBREW"))),BASTET(SUM(D5:D17)+D3,I12,B3,C3,IF(G13="Arapça","ARABIC",IF(G13="Türkçe","TURKCE","HEBREW"))))</f>
        <v>710</v>
      </c>
      <c r="K12" s="33" t="str">
        <f>TESBIH(J12,25,99,33)</f>
        <v>[7 tur][17 kalan]</v>
      </c>
      <c r="L12" s="3"/>
      <c r="M12" s="3"/>
      <c r="N12" s="3"/>
      <c r="O12" s="3"/>
      <c r="P12" s="3"/>
      <c r="Q12" s="3"/>
      <c r="R12" s="3"/>
      <c r="S12" s="3"/>
      <c r="T12" s="3"/>
      <c r="U12" s="3"/>
      <c r="V12" s="3"/>
      <c r="W12" s="3"/>
      <c r="X12" s="3"/>
      <c r="Y12" s="3"/>
      <c r="Z12" s="3"/>
      <c r="AA12" s="3"/>
      <c r="AB12" s="3"/>
    </row>
    <row r="13" spans="1:28" ht="24.75" thickTop="1" thickBot="1">
      <c r="A13" s="17"/>
      <c r="B13" s="19">
        <f t="shared" si="0"/>
        <v>1</v>
      </c>
      <c r="C13" s="19">
        <f t="shared" si="1"/>
        <v>1</v>
      </c>
      <c r="D13" s="13">
        <f t="shared" si="2"/>
        <v>0</v>
      </c>
      <c r="E13" s="14" t="str">
        <f>IF(D13=0,"",TESBIH(D13,25,99,33))</f>
        <v/>
      </c>
      <c r="F13" s="15" t="s">
        <v>8</v>
      </c>
      <c r="G13" s="31" t="s">
        <v>88</v>
      </c>
      <c r="H13" s="28" t="s">
        <v>21</v>
      </c>
      <c r="I13" s="32" t="s">
        <v>22</v>
      </c>
      <c r="J13" s="95" t="str">
        <f>IF(I13="ULVI-Y",IF(B3&lt;6,HUDDAM(J12+ABJAD("ي",1,C3),"ULVI",1+IF(G14="Mod 2",1,0)),IF(5&lt;B3&lt;11,HUDDAM(J12+ABJAD("ي",1,C3),"ULVI",7+IF(G14="Mod 2",1,0)),HUDDAM(J12+ABJAD("ي",12,C3),"ULVI",12+IF(G14="Mod 2",1,0)))),IF(B3&lt;6,HUDDAM(J12,I13,1+IF(G14="Mod 2",1,0)),IF(B3&lt;11,IF(5&lt;B3,HUDDAM(J12,I13,7+IF(G14="Mod 2",1,0)),""),HUDDAM(J12,I13,12+IF(G14="Mod 2",1,0)))))</f>
        <v>خنطئيل</v>
      </c>
      <c r="K13" s="96"/>
      <c r="L13" s="3"/>
      <c r="M13" s="3"/>
      <c r="N13" s="3"/>
      <c r="O13" s="3"/>
      <c r="P13" s="3"/>
      <c r="Q13" s="3"/>
      <c r="R13" s="3"/>
      <c r="S13" s="3"/>
      <c r="T13" s="3"/>
      <c r="U13" s="3"/>
      <c r="V13" s="3"/>
      <c r="W13" s="3"/>
      <c r="X13" s="3"/>
      <c r="Y13" s="3"/>
      <c r="Z13" s="3"/>
      <c r="AA13" s="3"/>
      <c r="AB13" s="3"/>
    </row>
    <row r="14" spans="1:28" ht="24.75" thickTop="1" thickBot="1">
      <c r="A14" s="17"/>
      <c r="B14" s="19">
        <f t="shared" si="0"/>
        <v>1</v>
      </c>
      <c r="C14" s="19">
        <f t="shared" si="1"/>
        <v>1</v>
      </c>
      <c r="D14" s="13">
        <f t="shared" si="2"/>
        <v>0</v>
      </c>
      <c r="E14" s="14" t="str">
        <f>IF(D14=0,"",TESBIH(D14,25,99,33))</f>
        <v/>
      </c>
      <c r="F14" s="15" t="s">
        <v>8</v>
      </c>
      <c r="G14" s="97" t="s">
        <v>89</v>
      </c>
      <c r="H14" s="34" t="str">
        <f>IF(I13="ULVI","😇",IF(I13="ULVI+10","😇",IF(I13="SUFLI","😼",IF(I13="ŞER","😈","💀"))))</f>
        <v>😇</v>
      </c>
      <c r="I14" s="35" t="str">
        <f>H14</f>
        <v>😇</v>
      </c>
      <c r="J14" s="95" t="s">
        <v>23</v>
      </c>
      <c r="K14" s="96"/>
      <c r="L14" s="3"/>
      <c r="M14" s="3"/>
      <c r="N14" s="3"/>
      <c r="O14" s="3"/>
      <c r="P14" s="3"/>
      <c r="Q14" s="3"/>
      <c r="R14" s="3"/>
      <c r="S14" s="3"/>
      <c r="T14" s="3"/>
      <c r="U14" s="3"/>
      <c r="V14" s="3"/>
      <c r="W14" s="3"/>
      <c r="X14" s="3"/>
      <c r="Y14" s="3"/>
      <c r="Z14" s="3"/>
      <c r="AA14" s="3"/>
      <c r="AB14" s="3"/>
    </row>
    <row r="15" spans="1:28" ht="22.15" customHeight="1" thickTop="1" thickBot="1">
      <c r="A15" s="17"/>
      <c r="B15" s="19">
        <f t="shared" si="0"/>
        <v>1</v>
      </c>
      <c r="C15" s="19">
        <f t="shared" si="1"/>
        <v>1</v>
      </c>
      <c r="D15" s="13">
        <f t="shared" si="2"/>
        <v>0</v>
      </c>
      <c r="E15" s="14" t="str">
        <f>IF(D15=0,"",TESBIH(D15,25,99,33))</f>
        <v/>
      </c>
      <c r="F15" s="15" t="s">
        <v>8</v>
      </c>
      <c r="G15" s="78" t="str">
        <f>CONCATENATE("  🢡",IF(C3=1,ABJAD(SAF(H15,""),B3,C3),ABJAD(H15,B3,C3)))</f>
        <v xml:space="preserve">  🢡4512</v>
      </c>
      <c r="H15" s="79" t="s">
        <v>24</v>
      </c>
      <c r="I15" s="79"/>
      <c r="J15" s="79"/>
      <c r="K15" s="79"/>
      <c r="L15" s="3"/>
      <c r="M15" s="3"/>
      <c r="N15" s="3"/>
      <c r="O15" s="3"/>
      <c r="P15" s="3"/>
      <c r="Q15" s="3"/>
      <c r="R15" s="3"/>
      <c r="S15" s="3"/>
      <c r="T15" s="3"/>
      <c r="U15" s="3"/>
      <c r="V15" s="3"/>
      <c r="W15" s="3"/>
      <c r="X15" s="3"/>
      <c r="Y15" s="3"/>
      <c r="Z15" s="3"/>
      <c r="AA15" s="3"/>
      <c r="AB15" s="3"/>
    </row>
    <row r="16" spans="1:28" ht="23.25">
      <c r="A16" s="17"/>
      <c r="B16" s="19">
        <f t="shared" si="0"/>
        <v>1</v>
      </c>
      <c r="C16" s="19">
        <f t="shared" si="1"/>
        <v>1</v>
      </c>
      <c r="D16" s="13">
        <f t="shared" si="2"/>
        <v>0</v>
      </c>
      <c r="E16" s="14" t="str">
        <f>IF(D16=0,"",TESBIH(D16,25,99,33))</f>
        <v/>
      </c>
      <c r="F16" s="15" t="s">
        <v>8</v>
      </c>
      <c r="G16" s="78"/>
      <c r="H16" s="79"/>
      <c r="I16" s="79"/>
      <c r="J16" s="79"/>
      <c r="K16" s="79"/>
      <c r="L16" s="3"/>
      <c r="M16" s="3"/>
      <c r="N16" s="3"/>
      <c r="O16" s="3"/>
      <c r="P16" s="3"/>
      <c r="Q16" s="3"/>
      <c r="R16" s="3"/>
      <c r="S16" s="3"/>
      <c r="T16" s="3"/>
      <c r="U16" s="3"/>
      <c r="V16" s="3"/>
      <c r="W16" s="3"/>
      <c r="X16" s="3"/>
      <c r="Y16" s="3"/>
      <c r="Z16" s="3"/>
      <c r="AA16" s="3"/>
      <c r="AB16" s="3"/>
    </row>
    <row r="17" spans="1:28" ht="23.25">
      <c r="A17" s="17"/>
      <c r="B17" s="19">
        <f t="shared" si="0"/>
        <v>1</v>
      </c>
      <c r="C17" s="19">
        <f t="shared" si="1"/>
        <v>1</v>
      </c>
      <c r="D17" s="13">
        <f t="shared" si="2"/>
        <v>0</v>
      </c>
      <c r="E17" s="14" t="str">
        <f>IF(D17=0,"",TESBIH(D17,25,99,33))</f>
        <v/>
      </c>
      <c r="F17" s="15" t="s">
        <v>8</v>
      </c>
      <c r="G17" s="36" t="s">
        <v>25</v>
      </c>
      <c r="H17" s="37" t="s">
        <v>25</v>
      </c>
      <c r="I17" s="37" t="s">
        <v>25</v>
      </c>
      <c r="J17" s="37" t="s">
        <v>25</v>
      </c>
      <c r="K17" s="37" t="s">
        <v>25</v>
      </c>
      <c r="L17" s="3"/>
      <c r="M17" s="3"/>
      <c r="N17" s="3"/>
      <c r="O17" s="3"/>
      <c r="P17" s="3"/>
      <c r="Q17" s="3"/>
      <c r="R17" s="3"/>
      <c r="S17" s="3"/>
      <c r="T17" s="3"/>
      <c r="U17" s="3"/>
      <c r="V17" s="3"/>
      <c r="W17" s="3"/>
      <c r="X17" s="3"/>
      <c r="Y17" s="3"/>
      <c r="Z17" s="3"/>
      <c r="AA17" s="3"/>
      <c r="AB17" s="3"/>
    </row>
    <row r="18" spans="1:28" ht="20.85" customHeight="1">
      <c r="A18" s="80" t="str">
        <f>CONCATENATE(CONCATENATE("Tablo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Tablo kodu: Sağir ebced değeri 🜨</v>
      </c>
      <c r="B18" s="80"/>
      <c r="C18" s="38" t="str">
        <f>IF(SUM(D5:D17)+D3=D18,"Toplam", CONCATENATE((HEPART(SUM(D5:D17)+D3,1)), " katı"))</f>
        <v>Toplam</v>
      </c>
      <c r="D18" s="39">
        <f>IF((SUM(D5:D17)+D3)&gt;0,IF((ROUNDDOWN((SUM(D5:D17)+D3-30)/4,0))&lt;1,HEPART(SUM(D5:D17)+D3),SUM(D5:D17)+D3),0)</f>
        <v>8473</v>
      </c>
      <c r="E18" s="40" t="str">
        <f>IF(C18="Toplam",TESBIH(D18,25,99,33),TESBIH(SUM(D5:D17),25,99,33))</f>
        <v>[85 tur][1X33][25 kalan]</v>
      </c>
      <c r="F18" s="41" t="str">
        <f>CONCATENATE(CONCATENATE(14-COUNTIF(D3:D17,0)," eklenen, "),CONCATENATE(COUNTIF(F3:F17,"Ekle")-(14-COUNTIF(D3:D17,0))," eklenemeyen"))</f>
        <v>3 eklenen, 11 eklenemeyen</v>
      </c>
      <c r="G18" s="81" t="s">
        <v>26</v>
      </c>
      <c r="H18" s="81"/>
      <c r="I18" s="81"/>
      <c r="J18" s="81"/>
      <c r="K18" s="81"/>
      <c r="L18" s="3"/>
      <c r="M18" s="3"/>
      <c r="N18" s="3"/>
      <c r="O18" s="3"/>
      <c r="P18" s="3"/>
      <c r="Q18" s="3"/>
      <c r="R18" s="3"/>
      <c r="S18" s="3"/>
      <c r="T18" s="3"/>
      <c r="U18" s="3"/>
      <c r="V18" s="3"/>
      <c r="W18" s="3"/>
      <c r="X18" s="3"/>
      <c r="Y18" s="3"/>
      <c r="Z18" s="3"/>
      <c r="AA18" s="3"/>
      <c r="AB18" s="3"/>
    </row>
    <row r="19" spans="1:28" ht="77.650000000000006" customHeight="1">
      <c r="A19" s="82" t="s">
        <v>27</v>
      </c>
      <c r="B19" s="82"/>
      <c r="C19" s="82"/>
      <c r="D19" s="82"/>
      <c r="E19" s="82"/>
      <c r="F19" s="42" t="s">
        <v>28</v>
      </c>
      <c r="G19" s="83" t="s">
        <v>29</v>
      </c>
      <c r="H19" s="83"/>
      <c r="I19" s="83"/>
      <c r="J19" s="83"/>
      <c r="K19" s="43" t="s">
        <v>30</v>
      </c>
      <c r="L19" s="44"/>
      <c r="M19" s="44"/>
      <c r="N19" s="44"/>
      <c r="O19" s="44"/>
      <c r="P19" s="44"/>
      <c r="Q19" s="44"/>
      <c r="R19" s="44"/>
      <c r="S19" s="44"/>
      <c r="T19" s="44"/>
      <c r="U19" s="44"/>
      <c r="V19" s="44"/>
      <c r="W19" s="44"/>
      <c r="X19" s="44"/>
      <c r="Y19" s="44"/>
      <c r="Z19" s="44"/>
      <c r="AA19" s="44"/>
      <c r="AB19" s="44"/>
    </row>
    <row r="20" spans="1:28" ht="14.25">
      <c r="A20" s="45" t="s">
        <v>31</v>
      </c>
      <c r="B20" s="46"/>
      <c r="C20" s="46"/>
      <c r="D20" s="46"/>
      <c r="E20" s="46"/>
      <c r="F20" s="46"/>
      <c r="G20" s="46"/>
      <c r="H20" s="46"/>
      <c r="I20" s="46"/>
      <c r="J20" s="46"/>
      <c r="K20" s="46"/>
      <c r="L20" s="44"/>
      <c r="M20" s="44"/>
      <c r="N20" s="44"/>
      <c r="O20" s="44"/>
      <c r="P20" s="44"/>
      <c r="Q20" s="44"/>
      <c r="R20" s="44"/>
      <c r="S20" s="44"/>
      <c r="T20" s="44"/>
      <c r="U20" s="44"/>
      <c r="V20" s="44"/>
      <c r="W20" s="44"/>
      <c r="X20" s="44"/>
      <c r="Y20" s="44"/>
      <c r="Z20" s="44"/>
      <c r="AA20" s="44"/>
      <c r="AB20" s="44"/>
    </row>
    <row r="21" spans="1:28" ht="14.25">
      <c r="A21" s="84" t="s">
        <v>32</v>
      </c>
      <c r="B21" s="84"/>
      <c r="C21" s="84"/>
      <c r="D21" s="84"/>
      <c r="E21" s="84"/>
      <c r="F21" s="84"/>
      <c r="G21" s="84"/>
      <c r="H21" s="84"/>
      <c r="I21" s="84"/>
      <c r="J21" s="84"/>
      <c r="K21" s="84"/>
      <c r="L21" s="44"/>
      <c r="M21" s="44"/>
      <c r="N21" s="44"/>
      <c r="O21" s="44"/>
      <c r="P21" s="44"/>
      <c r="Q21" s="44"/>
      <c r="R21" s="44"/>
      <c r="S21" s="44"/>
      <c r="T21" s="44"/>
      <c r="U21" s="44"/>
      <c r="V21" s="44"/>
      <c r="W21" s="44"/>
      <c r="X21" s="44"/>
      <c r="Y21" s="44"/>
      <c r="Z21" s="44"/>
      <c r="AA21" s="44"/>
      <c r="AB21" s="44"/>
    </row>
    <row r="22" spans="1:28" ht="14.25">
      <c r="A22" s="85" t="s">
        <v>33</v>
      </c>
      <c r="B22" s="47" t="s">
        <v>34</v>
      </c>
      <c r="C22" s="86" t="s">
        <v>35</v>
      </c>
      <c r="D22" s="86"/>
      <c r="E22" s="87" t="s">
        <v>36</v>
      </c>
      <c r="F22" s="87"/>
      <c r="G22" s="87"/>
      <c r="H22" s="88" t="s">
        <v>37</v>
      </c>
      <c r="I22" s="88"/>
      <c r="J22" s="48" t="s">
        <v>38</v>
      </c>
      <c r="K22" s="48"/>
      <c r="L22" s="44"/>
      <c r="M22" s="44"/>
      <c r="N22" s="44"/>
      <c r="O22" s="44"/>
      <c r="P22" s="44"/>
      <c r="Q22" s="44"/>
      <c r="R22" s="44"/>
      <c r="S22" s="44"/>
      <c r="T22" s="44"/>
      <c r="U22" s="44"/>
      <c r="V22" s="44"/>
      <c r="W22" s="44"/>
      <c r="X22" s="44"/>
      <c r="Y22" s="44"/>
      <c r="Z22" s="44"/>
      <c r="AA22" s="44"/>
      <c r="AB22" s="44"/>
    </row>
    <row r="23" spans="1:28" ht="14.25">
      <c r="A23" s="85"/>
      <c r="B23" s="47" t="s">
        <v>39</v>
      </c>
      <c r="C23" s="86" t="s">
        <v>40</v>
      </c>
      <c r="D23" s="86"/>
      <c r="E23" s="87" t="s">
        <v>41</v>
      </c>
      <c r="F23" s="87"/>
      <c r="G23" s="87"/>
      <c r="H23" s="89" t="s">
        <v>42</v>
      </c>
      <c r="I23" s="89"/>
      <c r="J23" s="48"/>
      <c r="K23" s="48"/>
      <c r="L23" s="44"/>
      <c r="M23" s="44"/>
      <c r="N23" s="44"/>
      <c r="O23" s="44"/>
      <c r="P23" s="44"/>
      <c r="Q23" s="44"/>
      <c r="R23" s="44"/>
      <c r="S23" s="44"/>
      <c r="T23" s="44"/>
      <c r="U23" s="44"/>
      <c r="V23" s="44"/>
      <c r="W23" s="44"/>
      <c r="X23" s="44"/>
      <c r="Y23" s="44"/>
      <c r="Z23" s="44"/>
      <c r="AA23" s="44"/>
      <c r="AB23" s="44"/>
    </row>
    <row r="24" spans="1:28" ht="14.25">
      <c r="A24" s="85"/>
      <c r="B24" s="47" t="s">
        <v>43</v>
      </c>
      <c r="C24" s="86" t="s">
        <v>44</v>
      </c>
      <c r="D24" s="86"/>
      <c r="E24" s="87" t="s">
        <v>45</v>
      </c>
      <c r="F24" s="87"/>
      <c r="G24" s="87"/>
      <c r="H24" s="89" t="s">
        <v>46</v>
      </c>
      <c r="I24" s="89"/>
      <c r="J24" s="48"/>
      <c r="K24" s="48"/>
      <c r="L24" s="44"/>
      <c r="M24" s="44"/>
      <c r="N24" s="44"/>
      <c r="O24" s="44"/>
      <c r="P24" s="44"/>
      <c r="Q24" s="44"/>
      <c r="R24" s="44"/>
      <c r="S24" s="44"/>
      <c r="T24" s="44"/>
      <c r="U24" s="44"/>
      <c r="V24" s="44"/>
      <c r="W24" s="44"/>
      <c r="X24" s="44"/>
      <c r="Y24" s="44"/>
      <c r="Z24" s="44"/>
      <c r="AA24" s="44"/>
      <c r="AB24" s="44"/>
    </row>
    <row r="25" spans="1:28" ht="23.25">
      <c r="A25" s="49" t="s">
        <v>47</v>
      </c>
      <c r="B25" s="50"/>
      <c r="C25" s="50"/>
      <c r="D25" s="50"/>
      <c r="E25" s="50"/>
      <c r="F25" s="50"/>
      <c r="G25" s="50"/>
      <c r="H25" s="51" t="str">
        <f>IF(B3&lt;6,HUDDAM(J12,"SUFLI"),HUDDAM(J12,"SUFLI",1))</f>
        <v>شصديوش</v>
      </c>
      <c r="I25" s="51" t="str">
        <f>IF(B3&lt;6,HUDDAM(J12,"ŞER"),HUDDAM(J12,"ŞER",1))</f>
        <v>شصاطيش</v>
      </c>
      <c r="J25" s="51" t="str">
        <f>IF(B3&lt;6,HUDDAM(J12,"اروت"),HUDDAM(J12,"اروت",1))</f>
        <v>قجاروت</v>
      </c>
      <c r="K25" s="50"/>
      <c r="L25" s="44"/>
      <c r="M25" s="44"/>
      <c r="N25" s="44"/>
      <c r="O25" s="44"/>
      <c r="P25" s="44"/>
      <c r="Q25" s="44"/>
      <c r="R25" s="44"/>
      <c r="S25" s="44"/>
      <c r="T25" s="44"/>
      <c r="U25" s="44"/>
      <c r="V25" s="44"/>
      <c r="W25" s="44"/>
      <c r="X25" s="44"/>
      <c r="Y25" s="44"/>
      <c r="Z25" s="44"/>
      <c r="AA25" s="44"/>
      <c r="AB25" s="44"/>
    </row>
    <row r="26" spans="1:28" ht="14.25">
      <c r="A26" s="49" t="s">
        <v>48</v>
      </c>
      <c r="B26" s="50"/>
      <c r="C26" s="50"/>
      <c r="D26" s="50"/>
      <c r="E26" s="50"/>
      <c r="F26" s="50"/>
      <c r="G26" s="50"/>
      <c r="H26" s="50" t="s">
        <v>49</v>
      </c>
      <c r="I26" s="50" t="s">
        <v>50</v>
      </c>
      <c r="J26" s="50" t="s">
        <v>51</v>
      </c>
      <c r="K26" s="50"/>
      <c r="L26" s="44"/>
      <c r="M26" s="44"/>
      <c r="N26" s="44"/>
      <c r="O26" s="44"/>
      <c r="P26" s="44"/>
      <c r="Q26" s="44"/>
      <c r="R26" s="44"/>
      <c r="S26" s="44"/>
      <c r="T26" s="44"/>
      <c r="U26" s="44"/>
      <c r="V26" s="44"/>
      <c r="W26" s="44"/>
      <c r="X26" s="44"/>
      <c r="Y26" s="44"/>
      <c r="Z26" s="44"/>
      <c r="AA26" s="44"/>
      <c r="AB26" s="44"/>
    </row>
    <row r="27" spans="1:28" ht="17.45" customHeight="1">
      <c r="A27" s="52" t="s">
        <v>52</v>
      </c>
      <c r="B27" s="90" t="s">
        <v>53</v>
      </c>
      <c r="C27" s="90"/>
      <c r="D27" s="90"/>
      <c r="E27" s="90"/>
      <c r="F27" s="90"/>
      <c r="G27" s="90"/>
      <c r="H27" s="90"/>
      <c r="I27" s="90"/>
      <c r="J27" s="90"/>
      <c r="K27" s="90"/>
      <c r="L27" s="44"/>
      <c r="M27" s="44"/>
      <c r="N27" s="44"/>
      <c r="O27" s="44"/>
      <c r="P27" s="44"/>
      <c r="Q27" s="44"/>
      <c r="R27" s="44"/>
      <c r="S27" s="44"/>
      <c r="T27" s="44"/>
      <c r="U27" s="44"/>
      <c r="V27" s="44"/>
      <c r="W27" s="44"/>
      <c r="X27" s="44"/>
      <c r="Y27" s="44"/>
      <c r="Z27" s="44"/>
      <c r="AA27" s="44"/>
      <c r="AB27" s="44"/>
    </row>
    <row r="28" spans="1:28" ht="14.25">
      <c r="A28" s="53" t="s">
        <v>54</v>
      </c>
      <c r="B28" s="50" t="s">
        <v>55</v>
      </c>
      <c r="C28" s="50"/>
      <c r="D28" s="50"/>
      <c r="E28" s="50"/>
      <c r="F28" s="50"/>
      <c r="G28" s="50"/>
      <c r="H28" s="50"/>
      <c r="I28" s="50"/>
      <c r="J28" s="50"/>
      <c r="K28" s="50"/>
      <c r="L28" s="44"/>
      <c r="M28" s="44"/>
      <c r="N28" s="44"/>
      <c r="O28" s="44"/>
      <c r="P28" s="44"/>
      <c r="Q28" s="44"/>
      <c r="R28" s="44"/>
      <c r="S28" s="44"/>
      <c r="T28" s="44"/>
      <c r="U28" s="44"/>
      <c r="V28" s="44"/>
      <c r="W28" s="44"/>
      <c r="X28" s="44"/>
      <c r="Y28" s="44"/>
      <c r="Z28" s="44"/>
      <c r="AA28" s="44"/>
      <c r="AB28" s="44"/>
    </row>
    <row r="29" spans="1:28" ht="14.25">
      <c r="A29" s="53" t="s">
        <v>56</v>
      </c>
      <c r="B29" s="50" t="s">
        <v>57</v>
      </c>
      <c r="C29" s="50"/>
      <c r="D29" s="50"/>
      <c r="E29" s="50"/>
      <c r="F29" s="50"/>
      <c r="G29" s="50"/>
      <c r="H29" s="50"/>
      <c r="I29" s="50"/>
      <c r="J29" s="50"/>
      <c r="K29" s="50"/>
      <c r="L29" s="44"/>
      <c r="M29" s="44"/>
      <c r="N29" s="44"/>
      <c r="O29" s="44"/>
      <c r="P29" s="44"/>
      <c r="Q29" s="44"/>
      <c r="R29" s="44"/>
      <c r="S29" s="44"/>
      <c r="T29" s="44"/>
      <c r="U29" s="44"/>
      <c r="V29" s="44"/>
      <c r="W29" s="44"/>
      <c r="X29" s="44"/>
      <c r="Y29" s="44"/>
      <c r="Z29" s="44"/>
      <c r="AA29" s="44"/>
      <c r="AB29" s="44"/>
    </row>
    <row r="30" spans="1:28" ht="14.25">
      <c r="A30" s="53" t="s">
        <v>58</v>
      </c>
      <c r="B30" s="50" t="s">
        <v>59</v>
      </c>
      <c r="C30" s="50"/>
      <c r="D30" s="91" t="s">
        <v>60</v>
      </c>
      <c r="E30" s="91"/>
      <c r="F30" s="91"/>
      <c r="G30" s="92" t="s">
        <v>61</v>
      </c>
      <c r="H30" s="92"/>
      <c r="I30" s="92"/>
      <c r="J30" s="50"/>
      <c r="K30" s="50"/>
      <c r="L30" s="44"/>
      <c r="M30" s="44"/>
      <c r="N30" s="44"/>
      <c r="O30" s="44"/>
      <c r="P30" s="44"/>
      <c r="Q30" s="44"/>
      <c r="R30" s="44"/>
      <c r="S30" s="44"/>
      <c r="T30" s="44"/>
      <c r="U30" s="44"/>
      <c r="V30" s="44"/>
      <c r="W30" s="44"/>
      <c r="X30" s="44"/>
      <c r="Y30" s="44"/>
      <c r="Z30" s="44"/>
      <c r="AA30" s="44"/>
      <c r="AB30" s="44"/>
    </row>
    <row r="31" spans="1:28" ht="14.25">
      <c r="A31" s="53" t="s">
        <v>62</v>
      </c>
      <c r="B31" s="50" t="s">
        <v>63</v>
      </c>
      <c r="C31" s="50"/>
      <c r="D31" s="91"/>
      <c r="E31" s="91"/>
      <c r="F31" s="91"/>
      <c r="G31" s="92"/>
      <c r="H31" s="92"/>
      <c r="I31" s="92"/>
      <c r="J31" s="50"/>
      <c r="K31" s="50"/>
      <c r="L31" s="44"/>
      <c r="M31" s="44"/>
      <c r="N31" s="44"/>
      <c r="O31" s="44"/>
      <c r="P31" s="44"/>
      <c r="Q31" s="44"/>
      <c r="R31" s="44"/>
      <c r="S31" s="44"/>
      <c r="T31" s="44"/>
      <c r="U31" s="44"/>
      <c r="V31" s="44"/>
      <c r="W31" s="44"/>
      <c r="X31" s="44"/>
      <c r="Y31" s="44"/>
      <c r="Z31" s="44"/>
      <c r="AA31" s="44"/>
      <c r="AB31" s="44"/>
    </row>
    <row r="32" spans="1:28" ht="14.25">
      <c r="A32" s="53" t="s">
        <v>64</v>
      </c>
      <c r="B32" s="50" t="s">
        <v>65</v>
      </c>
      <c r="C32" s="50"/>
      <c r="D32" s="50"/>
      <c r="E32" s="50"/>
      <c r="F32" s="50"/>
      <c r="G32" s="50"/>
      <c r="H32" s="50"/>
      <c r="I32" s="50"/>
      <c r="J32" s="50"/>
      <c r="K32" s="50"/>
      <c r="L32" s="44"/>
      <c r="M32" s="44"/>
      <c r="N32" s="44"/>
      <c r="O32" s="44"/>
      <c r="P32" s="44"/>
      <c r="Q32" s="44"/>
      <c r="R32" s="44"/>
      <c r="S32" s="44"/>
      <c r="T32" s="44"/>
      <c r="U32" s="44"/>
      <c r="V32" s="44"/>
      <c r="W32" s="44"/>
      <c r="X32" s="44"/>
      <c r="Y32" s="44"/>
      <c r="Z32" s="44"/>
      <c r="AA32" s="44"/>
      <c r="AB32" s="44"/>
    </row>
    <row r="33" spans="1:28" ht="14.25">
      <c r="A33" s="53" t="s">
        <v>66</v>
      </c>
      <c r="B33" s="50" t="s">
        <v>57</v>
      </c>
      <c r="C33" s="50"/>
      <c r="D33" s="50"/>
      <c r="E33" s="50"/>
      <c r="F33" s="50"/>
      <c r="G33" s="50"/>
      <c r="H33" s="50"/>
      <c r="I33" s="50"/>
      <c r="J33" s="50"/>
      <c r="K33" s="50"/>
      <c r="L33" s="44"/>
      <c r="M33" s="44"/>
      <c r="N33" s="44"/>
      <c r="O33" s="44"/>
      <c r="P33" s="44"/>
      <c r="Q33" s="44"/>
      <c r="R33" s="44"/>
      <c r="S33" s="44"/>
      <c r="T33" s="44"/>
      <c r="U33" s="44"/>
      <c r="V33" s="44"/>
      <c r="W33" s="44"/>
      <c r="X33" s="44"/>
      <c r="Y33" s="44"/>
      <c r="Z33" s="44"/>
      <c r="AA33" s="44"/>
      <c r="AB33" s="44"/>
    </row>
    <row r="34" spans="1:28" ht="14.25">
      <c r="A34" s="54" t="s">
        <v>67</v>
      </c>
      <c r="B34" s="50"/>
      <c r="C34" s="50"/>
      <c r="D34" s="50"/>
      <c r="E34" s="50"/>
      <c r="F34" s="50"/>
      <c r="G34" s="50"/>
      <c r="H34" s="50"/>
      <c r="I34" s="50"/>
      <c r="J34" s="50"/>
      <c r="K34" s="50"/>
      <c r="L34" s="44"/>
      <c r="M34" s="44"/>
      <c r="N34" s="44"/>
      <c r="O34" s="44"/>
      <c r="P34" s="44"/>
      <c r="Q34" s="44"/>
      <c r="R34" s="44"/>
      <c r="S34" s="44"/>
      <c r="T34" s="44"/>
      <c r="U34" s="44"/>
      <c r="V34" s="44"/>
      <c r="W34" s="44"/>
      <c r="X34" s="44"/>
      <c r="Y34" s="44"/>
      <c r="Z34" s="44"/>
      <c r="AA34" s="44"/>
      <c r="AB34" s="44"/>
    </row>
    <row r="35" spans="1:28" ht="14.25">
      <c r="A35" s="55" t="s">
        <v>68</v>
      </c>
      <c r="B35" s="93" t="s">
        <v>69</v>
      </c>
      <c r="C35" s="93"/>
      <c r="D35" s="93"/>
      <c r="E35" s="87" t="s">
        <v>38</v>
      </c>
      <c r="F35" s="87"/>
      <c r="G35" s="87"/>
      <c r="H35" s="50"/>
      <c r="I35" s="50"/>
      <c r="J35" s="50"/>
      <c r="K35" s="50"/>
      <c r="L35" s="44"/>
      <c r="M35" s="44"/>
      <c r="N35" s="44"/>
      <c r="O35" s="44"/>
      <c r="P35" s="44"/>
      <c r="Q35" s="44"/>
      <c r="R35" s="44"/>
      <c r="S35" s="44"/>
      <c r="T35" s="44"/>
      <c r="U35" s="44"/>
      <c r="V35" s="44"/>
      <c r="W35" s="44"/>
      <c r="X35" s="44"/>
      <c r="Y35" s="44"/>
      <c r="Z35" s="44"/>
      <c r="AA35" s="44"/>
      <c r="AB35" s="44"/>
    </row>
    <row r="36" spans="1:28" ht="14.25">
      <c r="A36" s="54" t="s">
        <v>70</v>
      </c>
      <c r="B36" s="50"/>
      <c r="C36" s="50"/>
      <c r="D36" s="50"/>
      <c r="E36" s="50"/>
      <c r="F36" s="50"/>
      <c r="G36" s="50"/>
      <c r="H36" s="50"/>
      <c r="I36" s="50"/>
      <c r="J36" s="50"/>
      <c r="K36" s="50"/>
      <c r="L36" s="44"/>
      <c r="M36" s="44"/>
      <c r="N36" s="44"/>
      <c r="O36" s="44"/>
      <c r="P36" s="44"/>
      <c r="Q36" s="44"/>
      <c r="R36" s="44"/>
      <c r="S36" s="44"/>
      <c r="T36" s="44"/>
      <c r="U36" s="44"/>
      <c r="V36" s="44"/>
      <c r="W36" s="44"/>
      <c r="X36" s="44"/>
      <c r="Y36" s="44"/>
      <c r="Z36" s="44"/>
      <c r="AA36" s="44"/>
      <c r="AB36" s="44"/>
    </row>
    <row r="37" spans="1:28" ht="14.25">
      <c r="A37" s="54" t="s">
        <v>71</v>
      </c>
      <c r="B37" s="50"/>
      <c r="C37" s="50"/>
      <c r="D37" s="50"/>
      <c r="E37" s="50"/>
      <c r="F37" s="50"/>
      <c r="G37" s="50"/>
      <c r="H37" s="50"/>
      <c r="I37" s="50"/>
      <c r="J37" s="50"/>
      <c r="K37" s="50"/>
      <c r="L37" s="44"/>
      <c r="M37" s="44"/>
      <c r="N37" s="44"/>
      <c r="O37" s="44"/>
      <c r="P37" s="44"/>
      <c r="Q37" s="44"/>
      <c r="R37" s="44"/>
      <c r="S37" s="44"/>
      <c r="T37" s="44"/>
      <c r="U37" s="44"/>
      <c r="V37" s="44"/>
      <c r="W37" s="44"/>
      <c r="X37" s="44"/>
      <c r="Y37" s="44"/>
      <c r="Z37" s="44"/>
      <c r="AA37" s="44"/>
      <c r="AB37" s="44"/>
    </row>
    <row r="38" spans="1:28" ht="14.25">
      <c r="A38" s="54" t="s">
        <v>72</v>
      </c>
      <c r="B38" s="50"/>
      <c r="C38" s="50"/>
      <c r="D38" s="50"/>
      <c r="E38" s="50"/>
      <c r="F38" s="50"/>
      <c r="G38" s="50"/>
      <c r="H38" s="50"/>
      <c r="I38" s="50"/>
      <c r="J38" s="50"/>
      <c r="K38" s="50"/>
      <c r="L38" s="44"/>
      <c r="M38" s="44"/>
      <c r="N38" s="44"/>
      <c r="O38" s="44"/>
      <c r="P38" s="44"/>
      <c r="Q38" s="44"/>
      <c r="R38" s="44"/>
      <c r="S38" s="44"/>
      <c r="T38" s="44"/>
      <c r="U38" s="44"/>
      <c r="V38" s="44"/>
      <c r="W38" s="44"/>
      <c r="X38" s="44"/>
      <c r="Y38" s="44"/>
      <c r="Z38" s="44"/>
      <c r="AA38" s="44"/>
      <c r="AB38" s="44"/>
    </row>
    <row r="39" spans="1:28" ht="14.25">
      <c r="A39" s="44"/>
      <c r="B39" s="44"/>
      <c r="C39" s="44"/>
      <c r="D39" s="44"/>
      <c r="E39" s="44"/>
      <c r="F39" s="44"/>
      <c r="G39" s="44"/>
      <c r="H39" s="44"/>
      <c r="I39" s="44"/>
      <c r="J39" s="44"/>
      <c r="K39" s="44"/>
      <c r="L39" s="44"/>
      <c r="M39" s="44"/>
      <c r="N39" s="44"/>
      <c r="O39" s="44"/>
      <c r="P39" s="44"/>
      <c r="Q39" s="44"/>
      <c r="R39" s="44"/>
      <c r="S39" s="44"/>
      <c r="T39" s="44"/>
      <c r="U39" s="44"/>
      <c r="V39" s="44"/>
      <c r="W39" s="44"/>
      <c r="X39" s="44"/>
      <c r="Y39" s="44"/>
      <c r="Z39" s="44"/>
      <c r="AA39" s="44"/>
      <c r="AB39" s="44"/>
    </row>
    <row r="40" spans="1:28" ht="14.25">
      <c r="A40" s="44"/>
      <c r="B40" s="44"/>
      <c r="C40" s="44"/>
      <c r="D40" s="44"/>
      <c r="E40" s="44"/>
      <c r="F40" s="44"/>
      <c r="G40" s="44"/>
      <c r="H40" s="44"/>
      <c r="I40" s="44"/>
      <c r="J40" s="44"/>
      <c r="K40" s="44"/>
      <c r="L40" s="44"/>
      <c r="M40" s="44"/>
      <c r="N40" s="44"/>
      <c r="O40" s="44"/>
      <c r="P40" s="44"/>
      <c r="Q40" s="44"/>
      <c r="R40" s="44"/>
      <c r="S40" s="44"/>
      <c r="T40" s="44"/>
      <c r="U40" s="44"/>
      <c r="V40" s="44"/>
      <c r="W40" s="44"/>
      <c r="X40" s="44"/>
      <c r="Y40" s="44"/>
      <c r="Z40" s="44"/>
      <c r="AA40" s="44"/>
      <c r="AB40" s="44"/>
    </row>
    <row r="41" spans="1:28" ht="14.25">
      <c r="A41" s="44"/>
      <c r="B41" s="44"/>
      <c r="C41" s="44"/>
      <c r="D41" s="44"/>
      <c r="E41" s="44"/>
      <c r="F41" s="44"/>
      <c r="G41" s="44"/>
      <c r="H41" s="44"/>
      <c r="I41" s="44"/>
      <c r="J41" s="44"/>
      <c r="K41" s="44"/>
      <c r="L41" s="44"/>
      <c r="M41" s="44"/>
      <c r="N41" s="44"/>
      <c r="O41" s="44"/>
      <c r="P41" s="44"/>
      <c r="Q41" s="44"/>
      <c r="R41" s="44"/>
      <c r="S41" s="44"/>
      <c r="T41" s="44"/>
      <c r="U41" s="44"/>
      <c r="V41" s="44"/>
      <c r="W41" s="44"/>
      <c r="X41" s="44"/>
      <c r="Y41" s="44"/>
      <c r="Z41" s="44"/>
      <c r="AA41" s="44"/>
      <c r="AB41" s="44"/>
    </row>
    <row r="42" spans="1:28" ht="14.25">
      <c r="A42" s="44"/>
      <c r="B42" s="44"/>
      <c r="C42" s="44"/>
      <c r="D42" s="44"/>
      <c r="E42" s="44"/>
      <c r="F42" s="44"/>
      <c r="G42" s="44"/>
      <c r="H42" s="44"/>
      <c r="I42" s="44"/>
      <c r="J42" s="44"/>
      <c r="K42" s="44"/>
      <c r="L42" s="44"/>
      <c r="M42" s="44"/>
      <c r="N42" s="44"/>
      <c r="O42" s="44"/>
      <c r="P42" s="44"/>
      <c r="Q42" s="44"/>
      <c r="R42" s="44"/>
      <c r="S42" s="44"/>
      <c r="T42" s="44"/>
      <c r="U42" s="44"/>
      <c r="V42" s="44"/>
      <c r="W42" s="44"/>
      <c r="X42" s="44"/>
      <c r="Y42" s="44"/>
      <c r="Z42" s="44"/>
      <c r="AA42" s="44"/>
      <c r="AB42" s="44"/>
    </row>
    <row r="43" spans="1:28" ht="14.25">
      <c r="A43" s="44"/>
      <c r="B43" s="44"/>
      <c r="C43" s="44"/>
      <c r="D43" s="44"/>
      <c r="E43" s="44"/>
      <c r="F43" s="44"/>
      <c r="G43" s="44"/>
      <c r="H43" s="44"/>
      <c r="I43" s="44"/>
      <c r="J43" s="44"/>
      <c r="K43" s="44"/>
      <c r="L43" s="44"/>
      <c r="M43" s="44"/>
      <c r="N43" s="44"/>
      <c r="O43" s="44"/>
      <c r="P43" s="44"/>
      <c r="Q43" s="44"/>
      <c r="R43" s="44"/>
      <c r="S43" s="44"/>
      <c r="T43" s="44"/>
      <c r="U43" s="44"/>
      <c r="V43" s="44"/>
      <c r="W43" s="44"/>
      <c r="X43" s="44"/>
      <c r="Y43" s="44"/>
      <c r="Z43" s="44"/>
      <c r="AA43" s="44"/>
      <c r="AB43" s="44"/>
    </row>
    <row r="44" spans="1:28" ht="14.25">
      <c r="A44" s="44"/>
      <c r="B44" s="44"/>
      <c r="C44" s="44"/>
      <c r="D44" s="44"/>
      <c r="E44" s="44"/>
      <c r="F44" s="44"/>
      <c r="G44" s="44"/>
      <c r="H44" s="44"/>
      <c r="I44" s="44"/>
      <c r="J44" s="44"/>
      <c r="K44" s="44"/>
      <c r="L44" s="44"/>
      <c r="M44" s="44"/>
      <c r="N44" s="44"/>
      <c r="O44" s="44"/>
      <c r="P44" s="44"/>
      <c r="Q44" s="44"/>
      <c r="R44" s="44"/>
      <c r="S44" s="44"/>
      <c r="T44" s="44"/>
      <c r="U44" s="44"/>
      <c r="V44" s="44"/>
      <c r="W44" s="44"/>
      <c r="X44" s="44"/>
      <c r="Y44" s="44"/>
      <c r="Z44" s="44"/>
      <c r="AA44" s="44"/>
      <c r="AB44" s="44"/>
    </row>
    <row r="45" spans="1:28" ht="14.25">
      <c r="A45" s="44"/>
      <c r="B45" s="44"/>
      <c r="C45" s="44"/>
      <c r="D45" s="44"/>
      <c r="E45" s="44"/>
      <c r="F45" s="44"/>
      <c r="G45" s="44"/>
      <c r="H45" s="44"/>
      <c r="I45" s="44"/>
      <c r="J45" s="44"/>
      <c r="K45" s="44"/>
      <c r="L45" s="44"/>
      <c r="M45" s="44"/>
      <c r="N45" s="44"/>
      <c r="O45" s="44"/>
      <c r="P45" s="44"/>
      <c r="Q45" s="44"/>
      <c r="R45" s="44"/>
      <c r="S45" s="44"/>
      <c r="T45" s="44"/>
      <c r="U45" s="44"/>
      <c r="V45" s="44"/>
      <c r="W45" s="44"/>
      <c r="X45" s="44"/>
      <c r="Y45" s="44"/>
      <c r="Z45" s="44"/>
      <c r="AA45" s="44"/>
      <c r="AB45" s="44"/>
    </row>
    <row r="46" spans="1:28" ht="14.25">
      <c r="A46" s="44"/>
      <c r="B46" s="44"/>
      <c r="C46" s="44"/>
      <c r="D46" s="44"/>
      <c r="E46" s="44"/>
      <c r="F46" s="44"/>
      <c r="G46" s="44"/>
      <c r="H46" s="44"/>
      <c r="I46" s="44"/>
      <c r="J46" s="44"/>
      <c r="K46" s="44"/>
      <c r="L46" s="44"/>
      <c r="M46" s="44"/>
      <c r="N46" s="44"/>
      <c r="O46" s="44"/>
      <c r="P46" s="44"/>
      <c r="Q46" s="44"/>
      <c r="R46" s="44"/>
      <c r="S46" s="44"/>
      <c r="T46" s="44"/>
      <c r="U46" s="44"/>
      <c r="V46" s="44"/>
      <c r="W46" s="44"/>
      <c r="X46" s="44"/>
      <c r="Y46" s="44"/>
      <c r="Z46" s="44"/>
      <c r="AA46" s="44"/>
      <c r="AB46" s="44"/>
    </row>
    <row r="47" spans="1:28" ht="14.25">
      <c r="A47" s="44"/>
      <c r="B47" s="44"/>
      <c r="C47" s="44"/>
      <c r="D47" s="44"/>
      <c r="E47" s="44"/>
      <c r="F47" s="44"/>
      <c r="G47" s="44"/>
      <c r="H47" s="44"/>
      <c r="I47" s="44"/>
      <c r="J47" s="44"/>
      <c r="K47" s="44"/>
      <c r="L47" s="44"/>
      <c r="M47" s="44"/>
      <c r="N47" s="44"/>
      <c r="O47" s="44"/>
      <c r="P47" s="44"/>
      <c r="Q47" s="44"/>
      <c r="R47" s="44"/>
      <c r="S47" s="44"/>
      <c r="T47" s="44"/>
      <c r="U47" s="44"/>
      <c r="V47" s="44"/>
      <c r="W47" s="44"/>
      <c r="X47" s="44"/>
      <c r="Y47" s="44"/>
      <c r="Z47" s="44"/>
      <c r="AA47" s="44"/>
      <c r="AB47" s="44"/>
    </row>
    <row r="48" spans="1:28" ht="14.25">
      <c r="A48" s="44"/>
      <c r="B48" s="44"/>
      <c r="C48" s="44"/>
      <c r="D48" s="44"/>
      <c r="E48" s="44"/>
      <c r="F48" s="44"/>
      <c r="G48" s="44"/>
      <c r="H48" s="44"/>
      <c r="I48" s="44"/>
      <c r="J48" s="44"/>
      <c r="K48" s="44"/>
      <c r="L48" s="44"/>
      <c r="M48" s="44"/>
      <c r="N48" s="44"/>
      <c r="O48" s="44"/>
      <c r="P48" s="44"/>
      <c r="Q48" s="44"/>
      <c r="R48" s="44"/>
      <c r="S48" s="44"/>
      <c r="T48" s="44"/>
      <c r="U48" s="44"/>
      <c r="V48" s="44"/>
      <c r="W48" s="44"/>
      <c r="X48" s="44"/>
      <c r="Y48" s="44"/>
      <c r="Z48" s="44"/>
      <c r="AA48" s="44"/>
      <c r="AB48" s="44"/>
    </row>
    <row r="49" spans="1:28" ht="14.25">
      <c r="A49" s="44"/>
      <c r="B49" s="44"/>
      <c r="C49" s="44"/>
      <c r="D49" s="44"/>
      <c r="E49" s="44"/>
      <c r="F49" s="44"/>
      <c r="G49" s="44"/>
      <c r="H49" s="44"/>
      <c r="I49" s="44"/>
      <c r="J49" s="44"/>
      <c r="K49" s="44"/>
      <c r="L49" s="44"/>
      <c r="M49" s="44"/>
      <c r="N49" s="44"/>
      <c r="O49" s="44"/>
      <c r="P49" s="44"/>
      <c r="Q49" s="44"/>
      <c r="R49" s="44"/>
      <c r="S49" s="44"/>
      <c r="T49" s="44"/>
      <c r="U49" s="44"/>
      <c r="V49" s="44"/>
      <c r="W49" s="44"/>
      <c r="X49" s="44"/>
      <c r="Y49" s="44"/>
      <c r="Z49" s="44"/>
      <c r="AA49" s="44"/>
      <c r="AB49" s="44"/>
    </row>
    <row r="50" spans="1:28" ht="14.25">
      <c r="A50" s="44"/>
      <c r="B50" s="44"/>
      <c r="C50" s="44"/>
      <c r="D50" s="44"/>
      <c r="E50" s="44"/>
      <c r="F50" s="44"/>
      <c r="G50" s="44"/>
      <c r="H50" s="44"/>
      <c r="I50" s="44"/>
      <c r="J50" s="44"/>
      <c r="K50" s="44"/>
      <c r="L50" s="44"/>
      <c r="M50" s="44"/>
      <c r="N50" s="44"/>
      <c r="O50" s="44"/>
      <c r="P50" s="44"/>
      <c r="Q50" s="44"/>
      <c r="R50" s="44"/>
      <c r="S50" s="44"/>
      <c r="T50" s="44"/>
      <c r="U50" s="44"/>
      <c r="V50" s="44"/>
      <c r="W50" s="44"/>
      <c r="X50" s="44"/>
      <c r="Y50" s="44"/>
      <c r="Z50" s="44"/>
      <c r="AA50" s="44"/>
      <c r="AB50" s="44"/>
    </row>
    <row r="51" spans="1:28" ht="14.25">
      <c r="A51" s="44"/>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row>
    <row r="52" spans="1:28" ht="14.25">
      <c r="A52" s="44"/>
      <c r="B52" s="44"/>
      <c r="C52" s="44"/>
      <c r="D52" s="44"/>
      <c r="E52" s="44"/>
      <c r="F52" s="44"/>
      <c r="G52" s="44"/>
      <c r="H52" s="44"/>
      <c r="I52" s="44"/>
      <c r="J52" s="44"/>
      <c r="K52" s="44"/>
      <c r="L52" s="44"/>
      <c r="M52" s="44"/>
      <c r="N52" s="44"/>
      <c r="O52" s="44"/>
      <c r="P52" s="44"/>
      <c r="Q52" s="44"/>
      <c r="R52" s="44"/>
      <c r="S52" s="44"/>
      <c r="T52" s="44"/>
      <c r="U52" s="44"/>
      <c r="V52" s="44"/>
      <c r="W52" s="44"/>
      <c r="X52" s="44"/>
      <c r="Y52" s="44"/>
      <c r="Z52" s="44"/>
      <c r="AA52" s="44"/>
      <c r="AB52" s="44"/>
    </row>
    <row r="53" spans="1:28" ht="14.25">
      <c r="A53" s="44"/>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row>
    <row r="54" spans="1:28" ht="14.25">
      <c r="A54" s="44"/>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row>
    <row r="55" spans="1:28" ht="14.25">
      <c r="A55" s="44"/>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row>
    <row r="56" spans="1:28" ht="14.25">
      <c r="A56" s="44"/>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row>
    <row r="57" spans="1:28" ht="14.25">
      <c r="A57" s="44"/>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row>
    <row r="58" spans="1:28" ht="14.25">
      <c r="A58" s="44"/>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row>
    <row r="59" spans="1:28" ht="14.25">
      <c r="A59" s="44"/>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row>
    <row r="60" spans="1:28" ht="14.25">
      <c r="A60" s="44"/>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row>
    <row r="61" spans="1:28" ht="14.25">
      <c r="A61" s="44"/>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row>
    <row r="62" spans="1:28" ht="14.25">
      <c r="A62" s="44"/>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row>
    <row r="63" spans="1:28" ht="14.25">
      <c r="A63" s="44"/>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row>
    <row r="64" spans="1:28" ht="14.25">
      <c r="A64" s="44"/>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row>
    <row r="65" spans="1:28" ht="14.25">
      <c r="A65" s="44"/>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row>
    <row r="66" spans="1:28" ht="14.25">
      <c r="A66" s="44"/>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row>
    <row r="67" spans="1:28" ht="14.25">
      <c r="A67" s="44"/>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row>
    <row r="68" spans="1:28" ht="14.25">
      <c r="A68" s="44"/>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row>
    <row r="69" spans="1:28" ht="14.25">
      <c r="A69" s="44"/>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row>
    <row r="70" spans="1:28" ht="14.25">
      <c r="A70" s="44"/>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row>
    <row r="71" spans="1:28" ht="14.25">
      <c r="A71" s="44"/>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row>
    <row r="72" spans="1:28" ht="14.25">
      <c r="A72" s="44"/>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row>
    <row r="73" spans="1:28" ht="14.25">
      <c r="A73" s="44"/>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row>
    <row r="74" spans="1:28" ht="14.25">
      <c r="A74" s="44"/>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row>
    <row r="75" spans="1:28" ht="14.25">
      <c r="A75" s="44"/>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row>
    <row r="76" spans="1:28" ht="14.25">
      <c r="A76" s="44"/>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row>
    <row r="77" spans="1:28" ht="14.25">
      <c r="A77" s="44"/>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row>
    <row r="78" spans="1:28" ht="14.25">
      <c r="A78" s="44"/>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row>
    <row r="79" spans="1:28" ht="14.25">
      <c r="A79" s="44"/>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row>
    <row r="80" spans="1:28" ht="14.25">
      <c r="A80" s="44"/>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row>
    <row r="81" spans="1:28" ht="14.25">
      <c r="A81" s="44"/>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row>
    <row r="82" spans="1:28" ht="14.25">
      <c r="A82" s="44"/>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row>
    <row r="83" spans="1:28" ht="14.25">
      <c r="A83" s="44"/>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row>
    <row r="84" spans="1:28" ht="14.25">
      <c r="A84" s="44"/>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row>
    <row r="85" spans="1:28" ht="14.25">
      <c r="A85" s="44"/>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row>
    <row r="86" spans="1:28" ht="14.25">
      <c r="A86" s="44"/>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row>
    <row r="87" spans="1:28" ht="14.25">
      <c r="A87" s="44"/>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row>
    <row r="88" spans="1:28" ht="14.25">
      <c r="A88" s="44"/>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row>
    <row r="89" spans="1:28" ht="14.25">
      <c r="A89" s="44"/>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row>
    <row r="90" spans="1:28" ht="14.25">
      <c r="A90" s="44"/>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row>
    <row r="91" spans="1:28" ht="14.25">
      <c r="A91" s="44"/>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row>
    <row r="92" spans="1:28" ht="14.25">
      <c r="A92" s="44"/>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row>
    <row r="93" spans="1:28" ht="14.25">
      <c r="A93" s="44"/>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row>
    <row r="94" spans="1:28" ht="14.25">
      <c r="A94" s="44"/>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row>
    <row r="95" spans="1:28" ht="14.25">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row>
    <row r="96" spans="1:28" ht="14.25">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row>
    <row r="97" spans="1:28" ht="14.25">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row>
    <row r="98" spans="1:28" ht="14.25">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row>
    <row r="99" spans="1:28" ht="14.25">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row>
    <row r="100" spans="1:28" ht="14.25">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row>
    <row r="101" spans="1:28" ht="14.25">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row>
    <row r="102" spans="1:28" ht="14.25">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row>
    <row r="103" spans="1:28" ht="14.25">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row>
    <row r="104" spans="1:28" ht="14.25">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row>
    <row r="105" spans="1:28" ht="14.25">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row>
    <row r="106" spans="1:28" ht="14.25">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row>
    <row r="107" spans="1:28" ht="14.25">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row>
    <row r="108" spans="1:28" ht="14.25">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row>
    <row r="109" spans="1:28" ht="14.25">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row>
    <row r="110" spans="1:28" ht="14.25">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row>
    <row r="111" spans="1:28" ht="14.25">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row>
    <row r="112" spans="1:28" ht="14.25">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row>
    <row r="113" spans="1:28" ht="14.25">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row>
    <row r="114" spans="1:28" ht="14.25">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row>
    <row r="115" spans="1:28" ht="14.25">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row>
    <row r="116" spans="1:28" ht="14.25">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row>
    <row r="117" spans="1:28" ht="14.25">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row>
    <row r="118" spans="1:28" ht="14.25">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row>
    <row r="119" spans="1:28" ht="14.25">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row>
    <row r="120" spans="1:28" ht="14.25">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row>
    <row r="121" spans="1:28" ht="14.25">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row>
    <row r="122" spans="1:28" ht="14.25">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row>
    <row r="123" spans="1:28" ht="14.25">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row>
    <row r="124" spans="1:28" ht="14.25">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row>
    <row r="125" spans="1:28" ht="14.25">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row>
    <row r="126" spans="1:28" ht="14.25">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row>
    <row r="127" spans="1:28" ht="14.25">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row>
    <row r="128" spans="1:28" ht="14.25">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row>
    <row r="129" spans="1:28" ht="14.25">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row>
    <row r="130" spans="1:28" ht="14.25">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row>
    <row r="131" spans="1:28" ht="14.25">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row>
    <row r="132" spans="1:28" ht="14.25">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row>
    <row r="133" spans="1:28" ht="14.25">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row>
    <row r="134" spans="1:28" ht="14.25">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row>
    <row r="135" spans="1:28" ht="14.25">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row>
    <row r="136" spans="1:28" ht="14.25">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row>
    <row r="137" spans="1:28" ht="14.25">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row>
    <row r="138" spans="1:28" ht="14.25">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row>
    <row r="139" spans="1:28" ht="14.25">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row>
    <row r="140" spans="1:28" ht="14.25">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row>
    <row r="141" spans="1:28" ht="14.25">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row>
    <row r="142" spans="1:28" ht="14.25">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row>
    <row r="143" spans="1:28" ht="14.25">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row>
    <row r="144" spans="1:28" ht="14.25">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row>
    <row r="145" spans="1:28" ht="14.25">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row>
    <row r="146" spans="1:28" ht="14.25">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row>
    <row r="147" spans="1:28" ht="14.25">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row>
    <row r="148" spans="1:28" ht="14.25">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row>
    <row r="149" spans="1:28" ht="14.25">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row>
    <row r="150" spans="1:28" ht="14.25">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row>
    <row r="151" spans="1:28" ht="14.25">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row>
    <row r="152" spans="1:28" ht="14.25">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row>
    <row r="153" spans="1:28" ht="14.25">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row>
    <row r="154" spans="1:28" ht="14.25">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row>
    <row r="155" spans="1:28" ht="14.25">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row>
    <row r="156" spans="1:28" ht="14.25">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row>
    <row r="157" spans="1:28" ht="14.25">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row>
    <row r="158" spans="1:28" ht="14.25">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row>
    <row r="159" spans="1:28" ht="14.25">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row>
    <row r="160" spans="1:28" ht="14.25">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row>
    <row r="161" spans="1:28" ht="14.25">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row>
    <row r="162" spans="1:28" ht="14.25">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row>
    <row r="163" spans="1:28" ht="14.25">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row>
    <row r="164" spans="1:28" ht="14.25">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row>
    <row r="165" spans="1:28" ht="14.25">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row>
    <row r="166" spans="1:28" ht="14.25">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row>
    <row r="167" spans="1:28" ht="14.25">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row>
    <row r="168" spans="1:28" ht="14.25">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row>
    <row r="169" spans="1:28" ht="14.25">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row>
    <row r="170" spans="1:28" ht="14.25">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row>
    <row r="171" spans="1:28" ht="14.25">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row>
    <row r="172" spans="1:28" ht="14.25">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row>
    <row r="173" spans="1:28" ht="14.25">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row>
    <row r="174" spans="1:28" ht="14.25">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row>
    <row r="175" spans="1:28" ht="14.25">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row>
    <row r="176" spans="1:28" ht="14.25">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row>
    <row r="177" spans="1:28" ht="14.25">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row>
    <row r="178" spans="1:28" ht="14.25">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row>
    <row r="179" spans="1:28" ht="14.25">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row>
    <row r="180" spans="1:28" ht="14.25">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row>
    <row r="181" spans="1:28" ht="14.25">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row>
    <row r="182" spans="1:28" ht="14.25">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row>
    <row r="183" spans="1:28" ht="14.25">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row>
    <row r="184" spans="1:28" ht="14.25">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row>
    <row r="185" spans="1:28" ht="14.25">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row>
    <row r="186" spans="1:28" ht="14.25">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row>
    <row r="187" spans="1:28" ht="14.25">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row>
    <row r="188" spans="1:28" ht="14.25">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row>
    <row r="189" spans="1:28" ht="14.25">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row>
    <row r="190" spans="1:28" ht="14.25">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row>
    <row r="191" spans="1:28" ht="14.25">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row>
    <row r="192" spans="1:28" ht="14.25">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row>
    <row r="193" spans="1:28" ht="14.25">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row>
    <row r="194" spans="1:28" ht="14.25">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row>
    <row r="195" spans="1:28" ht="14.25">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row>
    <row r="196" spans="1:28" ht="14.25">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row>
    <row r="197" spans="1:28" ht="14.25">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row>
    <row r="198" spans="1:28" ht="14.25">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row>
    <row r="199" spans="1:28" ht="14.2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row>
    <row r="200" spans="1:28" ht="14.2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row>
    <row r="201" spans="1:28" ht="14.2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row>
    <row r="202" spans="1:28" ht="14.2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row>
    <row r="203" spans="1:28" ht="14.2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row>
    <row r="204" spans="1:28" ht="14.2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row>
    <row r="205" spans="1:28" ht="14.2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row>
    <row r="206" spans="1:28" ht="14.2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row>
    <row r="207" spans="1:28" ht="14.2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row>
    <row r="208" spans="1:28" ht="14.2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row>
    <row r="209" spans="1:28" ht="14.2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row>
    <row r="210" spans="1:28" ht="14.2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row>
    <row r="211" spans="1:28" ht="14.2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row>
    <row r="212" spans="1:28" ht="14.2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row>
    <row r="213" spans="1:28" ht="14.2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row>
    <row r="214" spans="1:28" ht="14.2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row>
    <row r="215" spans="1:28" ht="14.2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row>
    <row r="216" spans="1:28" ht="14.2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row>
    <row r="217" spans="1:28" ht="14.2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row>
    <row r="218" spans="1:28" ht="14.2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row>
    <row r="219" spans="1:28" ht="14.2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row>
    <row r="220" spans="1:28" ht="14.2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row>
    <row r="221" spans="1:28" ht="14.2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row>
    <row r="222" spans="1:28" ht="14.2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row>
    <row r="223" spans="1:28" ht="14.2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row>
    <row r="224" spans="1:28" ht="14.2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row>
    <row r="225" spans="1:28" ht="14.2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row>
    <row r="226" spans="1:28" ht="14.2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row>
    <row r="227" spans="1:28" ht="14.25">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row>
    <row r="228" spans="1:28" ht="14.25">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row>
    <row r="229" spans="1:28" ht="14.25">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row>
    <row r="230" spans="1:28" ht="14.25">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row>
    <row r="231" spans="1:28" ht="14.25">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row>
    <row r="232" spans="1:28" ht="14.25">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row>
    <row r="233" spans="1:28" ht="14.25">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row>
    <row r="234" spans="1:28" ht="14.25">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row>
    <row r="235" spans="1:28" ht="14.25">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row>
    <row r="236" spans="1:28" ht="14.25">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row>
    <row r="237" spans="1:28" ht="14.25">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row>
    <row r="238" spans="1:28" ht="14.25">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row>
    <row r="239" spans="1:28" ht="14.25">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row>
    <row r="240" spans="1:28" ht="14.25">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row>
    <row r="241" spans="1:28" ht="14.25">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row>
    <row r="242" spans="1:28" ht="14.25">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row>
    <row r="243" spans="1:28" ht="14.25">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row>
    <row r="244" spans="1:28" ht="14.25">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row>
    <row r="245" spans="1:28" ht="14.25">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row>
    <row r="246" spans="1:28" ht="14.25">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row>
    <row r="247" spans="1:28" ht="14.25">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row>
    <row r="248" spans="1:28" ht="14.25">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row>
    <row r="249" spans="1:28" ht="14.25">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row>
    <row r="250" spans="1:28" ht="14.25">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row>
    <row r="251" spans="1:28" ht="14.25">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row>
    <row r="252" spans="1:28" ht="14.25">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row>
    <row r="253" spans="1:28" ht="14.25">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row>
    <row r="254" spans="1:28" ht="14.25">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row>
    <row r="255" spans="1:28" ht="14.25">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row>
    <row r="256" spans="1:28" ht="14.25">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row>
    <row r="257" spans="1:28" ht="14.25">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row>
    <row r="258" spans="1:28" ht="14.25">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row>
    <row r="259" spans="1:28" ht="14.25">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row>
    <row r="260" spans="1:28" ht="14.25">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row>
    <row r="261" spans="1:28" ht="14.25">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row>
    <row r="262" spans="1:28" ht="14.25">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row>
    <row r="263" spans="1:28" ht="14.25">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row>
    <row r="264" spans="1:28" ht="14.25">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row>
    <row r="265" spans="1:28" ht="14.25">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row>
    <row r="266" spans="1:28" ht="14.25">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row>
    <row r="267" spans="1:28" ht="14.25">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row>
    <row r="268" spans="1:28" ht="14.25">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row>
    <row r="269" spans="1:28" ht="14.25">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row>
    <row r="270" spans="1:28" ht="14.25">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row>
    <row r="271" spans="1:28" ht="14.25">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row>
    <row r="272" spans="1:28" ht="14.25">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row>
    <row r="273" spans="1:28" ht="14.25">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row>
    <row r="274" spans="1:28" ht="14.25">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row>
    <row r="275" spans="1:28" ht="14.25">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row>
    <row r="276" spans="1:28" ht="14.25">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row>
    <row r="277" spans="1:28" ht="14.25">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row>
    <row r="278" spans="1:28" ht="14.25">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row>
    <row r="279" spans="1:28" ht="14.25">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row>
    <row r="280" spans="1:28" ht="14.25">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row>
    <row r="281" spans="1:28" ht="14.25">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row>
    <row r="282" spans="1:28" ht="14.25">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row>
    <row r="283" spans="1:28" ht="14.25">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row>
    <row r="284" spans="1:28" ht="14.25">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row>
    <row r="285" spans="1:28" ht="14.25">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row>
    <row r="286" spans="1:28" ht="14.25">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row>
    <row r="287" spans="1:28" ht="14.25">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row>
    <row r="288" spans="1:28" ht="14.25">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row>
    <row r="289" spans="1:28" ht="14.25">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row>
    <row r="290" spans="1:28" ht="14.25">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row>
    <row r="291" spans="1:28" ht="14.25">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row>
    <row r="292" spans="1:28" ht="14.25">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row>
    <row r="293" spans="1:28" ht="14.25">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row>
    <row r="294" spans="1:28" ht="14.25">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row>
    <row r="295" spans="1:28" ht="14.25">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row>
    <row r="296" spans="1:28" ht="14.25">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row>
    <row r="297" spans="1:28" ht="14.25">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row>
    <row r="298" spans="1:28" ht="14.25">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row>
    <row r="299" spans="1:28" ht="14.25">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row>
    <row r="300" spans="1:28" ht="14.25">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row>
    <row r="301" spans="1:28" ht="14.25">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row>
    <row r="302" spans="1:28" ht="14.25">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row>
    <row r="303" spans="1:28" ht="14.25">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row>
    <row r="304" spans="1:28" ht="14.25">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row>
    <row r="305" spans="1:28" ht="14.25">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row>
    <row r="306" spans="1:28" ht="14.25">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row>
    <row r="307" spans="1:28" ht="14.25">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row>
    <row r="308" spans="1:28" ht="14.25">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row>
    <row r="309" spans="1:28" ht="14.25">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row>
    <row r="310" spans="1:28" ht="14.25">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row>
    <row r="311" spans="1:28" ht="14.25">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row>
    <row r="312" spans="1:28" ht="14.25">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row>
    <row r="313" spans="1:28" ht="14.25">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row>
    <row r="314" spans="1:28" ht="14.25">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row>
    <row r="315" spans="1:28" ht="14.25">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row>
    <row r="316" spans="1:28" ht="14.25">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row>
    <row r="317" spans="1:28" ht="14.25">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row>
    <row r="318" spans="1:28" ht="14.25">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row>
    <row r="319" spans="1:28" ht="14.25">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row>
    <row r="320" spans="1:28" ht="14.25">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row>
    <row r="321" spans="1:28" ht="14.25">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row>
    <row r="322" spans="1:28" ht="14.25">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row>
    <row r="323" spans="1:28" ht="14.25">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row>
    <row r="324" spans="1:28" ht="14.25">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row>
    <row r="325" spans="1:28" ht="14.25">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row>
    <row r="326" spans="1:28" ht="14.25">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row>
    <row r="327" spans="1:28" ht="14.25">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row>
    <row r="328" spans="1:28" ht="14.25">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row>
    <row r="329" spans="1:28" ht="14.25">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row>
    <row r="330" spans="1:28" ht="14.25">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row>
    <row r="331" spans="1:28" ht="14.25">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row>
    <row r="332" spans="1:28" ht="14.25">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row>
    <row r="333" spans="1:28" ht="14.25">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row>
    <row r="334" spans="1:28" ht="14.25">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row>
    <row r="335" spans="1:28" ht="14.25">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row>
    <row r="336" spans="1:28" ht="14.25">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row>
    <row r="337" spans="1:28" ht="14.25">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row>
    <row r="338" spans="1:28" ht="14.25">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row>
    <row r="339" spans="1:28" ht="14.25">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row>
    <row r="340" spans="1:28" ht="14.25">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row>
    <row r="341" spans="1:28" ht="14.25">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row>
    <row r="342" spans="1:28" ht="14.25">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row>
    <row r="343" spans="1:28" ht="14.25">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row>
    <row r="344" spans="1:28" ht="14.25">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row>
    <row r="345" spans="1:28" ht="14.25">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row>
    <row r="346" spans="1:28" ht="14.25">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row>
    <row r="347" spans="1:28" ht="14.25">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row>
    <row r="348" spans="1:28" ht="14.25">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row>
    <row r="349" spans="1:28" ht="14.25">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row>
    <row r="350" spans="1:28" ht="14.25">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row>
    <row r="351" spans="1:28" ht="14.25">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row>
    <row r="352" spans="1:28" ht="14.25">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row>
    <row r="353" spans="1:28" ht="14.25">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row>
    <row r="354" spans="1:28" ht="14.25">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row>
    <row r="355" spans="1:28" ht="14.25">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row>
    <row r="356" spans="1:28" ht="14.25">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row>
    <row r="357" spans="1:28" ht="14.25">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row>
    <row r="358" spans="1:28" ht="14.25">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row>
    <row r="359" spans="1:28" ht="14.25">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row>
    <row r="360" spans="1:28" ht="14.25">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row>
    <row r="361" spans="1:28" ht="14.25">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row>
    <row r="362" spans="1:28" ht="14.25">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row>
    <row r="363" spans="1:28" ht="14.25">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row>
    <row r="364" spans="1:28" ht="14.25">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row>
    <row r="365" spans="1:28" ht="14.25">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row>
    <row r="366" spans="1:28" ht="14.25">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row>
    <row r="367" spans="1:28" ht="14.25">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row>
    <row r="368" spans="1:28" ht="14.25">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row>
    <row r="369" spans="1:28" ht="14.25">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row>
    <row r="370" spans="1:28" ht="14.25">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row>
    <row r="371" spans="1:28" ht="14.25">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row>
    <row r="372" spans="1:28" ht="14.25">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row>
    <row r="373" spans="1:28" ht="14.25">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row>
    <row r="374" spans="1:28" ht="14.25">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row>
    <row r="375" spans="1:28" ht="14.25">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row>
    <row r="376" spans="1:28" ht="14.25">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row>
    <row r="377" spans="1:28" ht="14.25">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row>
    <row r="378" spans="1:28" ht="14.25">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row>
    <row r="379" spans="1:28" ht="14.25">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row>
    <row r="380" spans="1:28" ht="14.25">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row>
    <row r="381" spans="1:28" ht="14.25">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row>
    <row r="382" spans="1:28" ht="14.25">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row>
    <row r="383" spans="1:28" ht="14.25">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row>
    <row r="384" spans="1:28" ht="14.25">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row>
    <row r="385" spans="1:28" ht="14.25">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row>
    <row r="386" spans="1:28" ht="14.25">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row>
    <row r="387" spans="1:28" ht="14.25">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row>
    <row r="388" spans="1:28" ht="14.25">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row>
    <row r="389" spans="1:28" ht="14.25">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row>
    <row r="390" spans="1:28" ht="14.25">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row>
    <row r="391" spans="1:28" ht="14.25">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row>
    <row r="392" spans="1:28" ht="14.25">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row>
    <row r="393" spans="1:28" ht="14.25">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row>
    <row r="394" spans="1:28" ht="14.25">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row>
    <row r="395" spans="1:28" ht="14.25">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row>
    <row r="396" spans="1:28" ht="14.25">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row>
    <row r="397" spans="1:28" ht="14.25">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row>
    <row r="398" spans="1:28" ht="14.25">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row>
    <row r="399" spans="1:28" ht="14.25">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row>
    <row r="400" spans="1:28" ht="14.25">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row>
    <row r="401" spans="1:28" ht="14.25">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row>
    <row r="402" spans="1:28" ht="14.25">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row>
    <row r="403" spans="1:28" ht="14.25">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row>
    <row r="404" spans="1:28" ht="14.25">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row>
    <row r="405" spans="1:28" ht="14.25">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row>
    <row r="406" spans="1:28" ht="14.25">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row>
    <row r="407" spans="1:28" ht="14.25">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row>
    <row r="408" spans="1:28" ht="14.25">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row>
    <row r="409" spans="1:28" ht="14.25">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row>
    <row r="410" spans="1:28" ht="14.25">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row>
    <row r="411" spans="1:28" ht="14.25">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row>
    <row r="412" spans="1:28" ht="14.25">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row>
    <row r="413" spans="1:28" ht="14.25">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row>
    <row r="414" spans="1:28" ht="14.25">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row>
    <row r="415" spans="1:28" ht="14.25">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row>
    <row r="416" spans="1:28" ht="14.25">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row>
    <row r="417" spans="1:28" ht="14.25">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row>
    <row r="418" spans="1:28" ht="14.25">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row>
    <row r="419" spans="1:28" ht="14.25">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row>
    <row r="420" spans="1:28" ht="14.25">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row>
    <row r="421" spans="1:28" ht="14.25">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row>
    <row r="422" spans="1:28" ht="14.25">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row>
    <row r="423" spans="1:28" ht="14.25">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row>
    <row r="424" spans="1:28" ht="14.25">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row>
    <row r="425" spans="1:28" ht="14.25">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row>
    <row r="426" spans="1:28" ht="14.25">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row>
    <row r="427" spans="1:28" ht="14.25">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row>
    <row r="428" spans="1:28" ht="14.25">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row>
    <row r="429" spans="1:28" ht="14.25">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row>
    <row r="430" spans="1:28" ht="14.25">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row>
    <row r="431" spans="1:28" ht="14.25">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row>
    <row r="432" spans="1:28" ht="14.25">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row>
    <row r="433" spans="1:28" ht="14.25">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row>
    <row r="434" spans="1:28" ht="14.25">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row>
    <row r="435" spans="1:28" ht="14.25">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row>
    <row r="436" spans="1:28" ht="14.25">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row>
    <row r="437" spans="1:28" ht="14.25">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row>
    <row r="438" spans="1:28" ht="14.25">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row>
    <row r="439" spans="1:28" ht="14.25">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row>
    <row r="440" spans="1:28" ht="14.25">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row>
    <row r="441" spans="1:28" ht="14.25">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row>
    <row r="442" spans="1:28" ht="14.25">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row>
    <row r="443" spans="1:28" ht="14.25">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row>
    <row r="444" spans="1:28" ht="14.25">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row>
    <row r="445" spans="1:28" ht="14.25">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row>
    <row r="446" spans="1:28" ht="14.25">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row>
    <row r="447" spans="1:28" ht="14.25">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row>
    <row r="448" spans="1:28" ht="14.25">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row>
    <row r="449" spans="1:28" ht="14.25">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row>
    <row r="450" spans="1:28" ht="14.25">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row>
    <row r="451" spans="1:28" ht="14.25">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row>
    <row r="452" spans="1:28" ht="14.25">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row>
    <row r="453" spans="1:28" ht="14.25">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row>
    <row r="454" spans="1:28" ht="14.25">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row>
    <row r="455" spans="1:28" ht="14.25">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row>
    <row r="456" spans="1:28" ht="14.25">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row>
    <row r="457" spans="1:28" ht="14.25">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row>
    <row r="458" spans="1:28" ht="14.25">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row>
    <row r="459" spans="1:28" ht="14.25">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row>
    <row r="460" spans="1:28" ht="14.25">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row>
    <row r="461" spans="1:28" ht="14.25">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row>
    <row r="462" spans="1:28" ht="14.25">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row>
    <row r="463" spans="1:28" ht="14.25">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row>
    <row r="464" spans="1:28" ht="14.25">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row>
    <row r="465" spans="1:28" ht="14.25">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row>
    <row r="466" spans="1:28" ht="14.25">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row>
    <row r="467" spans="1:28" ht="14.25">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row>
    <row r="468" spans="1:28" ht="14.25">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row>
    <row r="469" spans="1:28" ht="14.25">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row>
    <row r="470" spans="1:28" ht="14.25">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row>
    <row r="471" spans="1:28" ht="14.25">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row>
    <row r="472" spans="1:28" ht="14.25">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row>
    <row r="473" spans="1:28" ht="14.25">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row>
    <row r="474" spans="1:28" ht="14.25">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row>
    <row r="475" spans="1:28" ht="14.25">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row>
    <row r="476" spans="1:28" ht="14.25">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row>
    <row r="477" spans="1:28" ht="14.25">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row>
    <row r="478" spans="1:28" ht="14.25">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row>
    <row r="479" spans="1:28" ht="14.25">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row>
    <row r="480" spans="1:28" ht="14.25">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row>
    <row r="481" spans="1:28" ht="14.25">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row>
    <row r="482" spans="1:28" ht="14.25">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row>
    <row r="483" spans="1:28" ht="14.25">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row>
    <row r="484" spans="1:28" ht="14.25">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row>
    <row r="485" spans="1:28" ht="14.25">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row>
    <row r="486" spans="1:28" ht="14.25">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row>
    <row r="487" spans="1:28" ht="14.25">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row>
    <row r="488" spans="1:28" ht="14.25">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row>
    <row r="489" spans="1:28" ht="14.25">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row>
    <row r="490" spans="1:28" ht="14.25">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row>
    <row r="491" spans="1:28" ht="14.25">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row>
    <row r="492" spans="1:28" ht="14.25">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row>
    <row r="493" spans="1:28" ht="14.25">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row>
    <row r="494" spans="1:28" ht="14.25">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row>
    <row r="495" spans="1:28" ht="14.25">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row>
    <row r="496" spans="1:28" ht="14.25">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row>
    <row r="497" spans="1:28" ht="14.25">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row>
    <row r="498" spans="1:28" ht="14.25">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row>
    <row r="499" spans="1:28" ht="14.25">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row>
    <row r="500" spans="1:28" ht="14.25">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row>
    <row r="501" spans="1:28" ht="14.25">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row>
    <row r="502" spans="1:28" ht="14.25">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row>
    <row r="503" spans="1:28" ht="14.25">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row>
    <row r="504" spans="1:28" ht="14.25">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row>
    <row r="505" spans="1:28" ht="14.25">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row>
    <row r="506" spans="1:28" ht="14.25">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row>
    <row r="507" spans="1:28" ht="14.25">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row>
    <row r="508" spans="1:28" ht="14.25">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row>
    <row r="509" spans="1:28" ht="14.25">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row>
    <row r="510" spans="1:28" ht="14.25">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row>
    <row r="511" spans="1:28" ht="14.25">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row>
    <row r="512" spans="1:28" ht="14.25">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row>
    <row r="513" spans="1:28" ht="14.25">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row>
    <row r="514" spans="1:28" ht="14.25">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row>
    <row r="515" spans="1:28" ht="14.25">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row>
    <row r="516" spans="1:28" ht="14.25">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row>
    <row r="517" spans="1:28" ht="14.25">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row>
    <row r="518" spans="1:28" ht="14.25">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row>
    <row r="519" spans="1:28" ht="14.25">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row>
    <row r="520" spans="1:28" ht="14.25">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row>
    <row r="521" spans="1:28" ht="14.25">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row>
    <row r="522" spans="1:28" ht="14.25">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row>
    <row r="523" spans="1:28" ht="14.25">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row>
    <row r="524" spans="1:28" ht="14.25">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row>
    <row r="525" spans="1:28" ht="14.25">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row>
    <row r="526" spans="1:28" ht="14.25">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row>
    <row r="527" spans="1:28" ht="14.25">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row>
    <row r="528" spans="1:28" ht="14.25">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row>
    <row r="529" spans="1:28" ht="14.25">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row>
    <row r="530" spans="1:28" ht="14.25">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row>
    <row r="531" spans="1:28" ht="14.25">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row>
    <row r="532" spans="1:28" ht="14.25">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row>
    <row r="533" spans="1:28" ht="14.25">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row>
    <row r="534" spans="1:28" ht="14.25">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row>
    <row r="535" spans="1:28" ht="14.25">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row>
    <row r="536" spans="1:28" ht="14.25">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row>
    <row r="537" spans="1:28" ht="14.25">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row>
    <row r="538" spans="1:28" ht="14.25">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row>
    <row r="539" spans="1:28" ht="14.25">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row>
    <row r="540" spans="1:28" ht="14.25">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row>
    <row r="541" spans="1:28" ht="14.25">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row>
    <row r="542" spans="1:28" ht="14.25">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row>
    <row r="543" spans="1:28" ht="14.25">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row>
    <row r="544" spans="1:28" ht="14.25">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row>
    <row r="545" spans="1:28" ht="14.25">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row>
    <row r="546" spans="1:28" ht="14.25">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row>
    <row r="547" spans="1:28" ht="14.25">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row>
    <row r="548" spans="1:28" ht="14.25">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row>
    <row r="549" spans="1:28" ht="14.25">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row>
    <row r="550" spans="1:28" ht="14.25">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row>
    <row r="551" spans="1:28" ht="14.25">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row>
    <row r="552" spans="1:28" ht="14.25">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row>
    <row r="553" spans="1:28" ht="14.25">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row>
    <row r="554" spans="1:28" ht="14.25">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row>
    <row r="555" spans="1:28" ht="14.25">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row>
    <row r="556" spans="1:28" ht="14.25">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row>
    <row r="557" spans="1:28" ht="14.25">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row>
    <row r="558" spans="1:28" ht="14.25">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row>
    <row r="559" spans="1:28" ht="14.25">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row>
    <row r="560" spans="1:28" ht="14.25">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row>
    <row r="561" spans="1:28" ht="14.25">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row>
    <row r="562" spans="1:28" ht="14.25">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row>
    <row r="563" spans="1:28" ht="14.25">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row>
    <row r="564" spans="1:28" ht="14.25">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row>
    <row r="565" spans="1:28" ht="14.25">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row>
    <row r="566" spans="1:28" ht="14.25">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row>
    <row r="567" spans="1:28" ht="14.25">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row>
    <row r="568" spans="1:28" ht="14.25">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row>
    <row r="569" spans="1:28" ht="14.25">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row>
    <row r="570" spans="1:28" ht="14.25">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row>
    <row r="571" spans="1:28" ht="14.25">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row>
    <row r="572" spans="1:28" ht="14.25">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row>
    <row r="573" spans="1:28" ht="14.25">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row>
    <row r="574" spans="1:28" ht="14.25">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row>
    <row r="575" spans="1:28" ht="14.25">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row>
    <row r="576" spans="1:28" ht="14.25">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row>
    <row r="577" spans="1:28" ht="14.25">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row>
    <row r="578" spans="1:28" ht="14.25">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row>
    <row r="579" spans="1:28" ht="14.25">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row>
    <row r="580" spans="1:28" ht="14.25">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row>
    <row r="581" spans="1:28" ht="14.25">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row>
    <row r="582" spans="1:28" ht="14.25">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row>
    <row r="583" spans="1:28" ht="14.25">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row>
    <row r="584" spans="1:28" ht="14.25">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row>
    <row r="585" spans="1:28" ht="14.25">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row>
    <row r="586" spans="1:28" ht="14.25">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row>
    <row r="587" spans="1:28" ht="14.25">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row>
    <row r="588" spans="1:28" ht="14.25">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row>
    <row r="589" spans="1:28" ht="14.25">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row>
    <row r="590" spans="1:28" ht="14.25">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row>
    <row r="591" spans="1:28" ht="14.25">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row>
    <row r="592" spans="1:28" ht="14.25">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row>
    <row r="593" spans="1:28" ht="14.25">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row>
    <row r="594" spans="1:28" ht="14.25">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row>
    <row r="595" spans="1:28" ht="14.25">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row>
    <row r="596" spans="1:28" ht="14.25">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row>
    <row r="597" spans="1:28" ht="14.25">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row>
    <row r="598" spans="1:28" ht="14.25">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row>
    <row r="599" spans="1:28" ht="14.25">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row>
    <row r="600" spans="1:28" ht="14.25">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row>
    <row r="601" spans="1:28" ht="14.25">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row>
    <row r="602" spans="1:28" ht="14.25">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row>
    <row r="603" spans="1:28" ht="14.25">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row>
    <row r="604" spans="1:28" ht="14.25">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row>
    <row r="605" spans="1:28" ht="14.25">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row>
    <row r="606" spans="1:28" ht="14.25">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row>
    <row r="607" spans="1:28" ht="14.25">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row>
    <row r="608" spans="1:28" ht="14.25">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row>
    <row r="609" spans="1:28" ht="14.25">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row>
    <row r="610" spans="1:28" ht="14.25">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row>
    <row r="611" spans="1:28" ht="14.25">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row>
    <row r="612" spans="1:28" ht="14.25">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row>
    <row r="613" spans="1:28" ht="14.25">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row>
    <row r="614" spans="1:28" ht="14.25">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row>
    <row r="615" spans="1:28" ht="14.25">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row>
    <row r="616" spans="1:28" ht="14.25">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row>
    <row r="617" spans="1:28" ht="14.25">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row>
    <row r="618" spans="1:28" ht="14.25">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row>
    <row r="619" spans="1:28" ht="14.25">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row>
    <row r="620" spans="1:28" ht="14.25">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row>
    <row r="621" spans="1:28" ht="14.25">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row>
    <row r="622" spans="1:28" ht="14.25">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row>
    <row r="623" spans="1:28" ht="14.25">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row>
    <row r="624" spans="1:28" ht="14.25">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row>
    <row r="625" spans="1:28" ht="14.25">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row>
    <row r="626" spans="1:28" ht="14.25">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row>
    <row r="627" spans="1:28" ht="14.25">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row>
    <row r="628" spans="1:28" ht="14.25">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row>
    <row r="629" spans="1:28" ht="14.25">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row>
    <row r="630" spans="1:28" ht="14.25">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row>
    <row r="631" spans="1:28" ht="14.25">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row>
    <row r="632" spans="1:28" ht="14.25">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row>
    <row r="633" spans="1:28" ht="14.25">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row>
    <row r="634" spans="1:28" ht="14.25">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row>
    <row r="635" spans="1:28" ht="14.25">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row>
    <row r="636" spans="1:28" ht="14.25">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row>
    <row r="637" spans="1:28" ht="14.25">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row>
    <row r="638" spans="1:28" ht="14.25">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row>
    <row r="639" spans="1:28" ht="14.25">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row>
    <row r="640" spans="1:28" ht="14.25">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row>
    <row r="641" spans="1:28" ht="14.25">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row>
    <row r="642" spans="1:28" ht="14.25">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row>
    <row r="643" spans="1:28" ht="14.25">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row>
    <row r="644" spans="1:28" ht="14.25">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row>
    <row r="645" spans="1:28" ht="14.25">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row>
    <row r="646" spans="1:28" ht="14.25">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row>
    <row r="647" spans="1:28" ht="14.25">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row>
    <row r="648" spans="1:28" ht="14.25">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row>
    <row r="649" spans="1:28" ht="14.25">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row>
    <row r="650" spans="1:28" ht="14.25">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row>
    <row r="651" spans="1:28" ht="14.25">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row>
    <row r="652" spans="1:28" ht="14.25">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row>
    <row r="653" spans="1:28" ht="14.25">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row>
    <row r="654" spans="1:28" ht="14.25">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row>
    <row r="655" spans="1:28" ht="14.25">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row>
    <row r="656" spans="1:28" ht="14.25">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row>
    <row r="657" spans="1:28" ht="14.25">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row>
    <row r="658" spans="1:28" ht="14.25">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row>
    <row r="659" spans="1:28" ht="14.25">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row>
    <row r="660" spans="1:28" ht="14.25">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row>
    <row r="661" spans="1:28" ht="14.25">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row>
    <row r="662" spans="1:28" ht="14.25">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row>
    <row r="663" spans="1:28" ht="14.25">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row>
    <row r="664" spans="1:28" ht="14.25">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row>
    <row r="665" spans="1:28" ht="14.25">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row>
    <row r="666" spans="1:28" ht="14.25">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row>
    <row r="667" spans="1:28" ht="14.25">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row>
    <row r="668" spans="1:28" ht="14.25">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row>
    <row r="669" spans="1:28" ht="14.25">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row>
    <row r="670" spans="1:28" ht="14.25">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row>
    <row r="671" spans="1:28" ht="14.25">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row>
    <row r="672" spans="1:28" ht="14.25">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row>
    <row r="673" spans="1:28" ht="14.25">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row>
    <row r="674" spans="1:28" ht="14.25">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row>
    <row r="675" spans="1:28" ht="14.25">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row>
    <row r="676" spans="1:28" ht="14.25">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row>
    <row r="677" spans="1:28" ht="14.25">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row>
    <row r="678" spans="1:28" ht="14.25">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row>
    <row r="679" spans="1:28" ht="14.25">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row>
    <row r="680" spans="1:28" ht="14.25">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row>
    <row r="681" spans="1:28" ht="14.25">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row>
    <row r="682" spans="1:28" ht="14.25">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row>
    <row r="683" spans="1:28" ht="14.25">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row>
    <row r="684" spans="1:28" ht="14.25">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row>
    <row r="685" spans="1:28" ht="14.25">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row>
    <row r="686" spans="1:28" ht="14.25">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row>
    <row r="687" spans="1:28" ht="14.25">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row>
    <row r="688" spans="1:28" ht="14.25">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row>
    <row r="689" spans="1:28" ht="14.25">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row>
    <row r="690" spans="1:28" ht="14.25">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row>
    <row r="691" spans="1:28" ht="14.25">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row>
    <row r="692" spans="1:28" ht="14.25">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row>
    <row r="693" spans="1:28" ht="14.25">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row>
    <row r="694" spans="1:28" ht="14.25">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row>
    <row r="695" spans="1:28" ht="14.25">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row>
    <row r="696" spans="1:28" ht="14.25">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row>
    <row r="697" spans="1:28" ht="14.25">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row>
    <row r="698" spans="1:28" ht="14.25">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row>
    <row r="699" spans="1:28" ht="14.25">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row>
    <row r="700" spans="1:28" ht="14.25">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row>
    <row r="701" spans="1:28" ht="14.25">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row>
    <row r="702" spans="1:28" ht="14.25">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row>
    <row r="703" spans="1:28" ht="14.25">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row>
    <row r="704" spans="1:28" ht="14.25">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row>
    <row r="705" spans="1:28" ht="14.25">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row>
    <row r="706" spans="1:28" ht="14.25">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row>
    <row r="707" spans="1:28" ht="14.25">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row>
    <row r="708" spans="1:28" ht="14.25">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row>
    <row r="709" spans="1:28" ht="14.25">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row>
    <row r="710" spans="1:28" ht="14.25">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row>
    <row r="711" spans="1:28" ht="14.25">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row>
    <row r="712" spans="1:28" ht="14.25">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row>
    <row r="713" spans="1:28" ht="14.25">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row>
    <row r="714" spans="1:28" ht="14.25">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row>
    <row r="715" spans="1:28" ht="14.25">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row>
    <row r="716" spans="1:28" ht="14.25">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row>
    <row r="717" spans="1:28" ht="14.25">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row>
    <row r="718" spans="1:28" ht="14.25">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row>
    <row r="719" spans="1:28" ht="14.25">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row>
    <row r="720" spans="1:28" ht="14.25">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row>
    <row r="721" spans="1:28" ht="14.25">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row>
    <row r="722" spans="1:28" ht="14.25">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row>
    <row r="723" spans="1:28" ht="14.25">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row>
    <row r="724" spans="1:28" ht="14.25">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row>
    <row r="725" spans="1:28" ht="14.25">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row>
    <row r="726" spans="1:28" ht="14.25">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row>
    <row r="727" spans="1:28" ht="14.25">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row>
    <row r="728" spans="1:28" ht="14.25">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row>
    <row r="729" spans="1:28" ht="14.25">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row>
    <row r="730" spans="1:28" ht="14.25">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row>
    <row r="731" spans="1:28" ht="14.25">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row>
    <row r="732" spans="1:28" ht="14.25">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row>
    <row r="733" spans="1:28" ht="14.25">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row>
    <row r="734" spans="1:28" ht="14.25">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row>
    <row r="735" spans="1:28" ht="14.25">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row>
    <row r="736" spans="1:28" ht="14.25">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row>
    <row r="737" spans="1:28" ht="14.25">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row>
    <row r="738" spans="1:28" ht="14.25">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row>
    <row r="739" spans="1:28" ht="14.25">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row>
    <row r="740" spans="1:28" ht="14.25">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row>
    <row r="741" spans="1:28" ht="14.25">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row>
    <row r="742" spans="1:28" ht="14.25">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row>
    <row r="743" spans="1:28" ht="14.25">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row>
    <row r="744" spans="1:28" ht="14.25">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row>
    <row r="745" spans="1:28" ht="14.25">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row>
    <row r="746" spans="1:28" ht="14.25">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row>
    <row r="747" spans="1:28" ht="14.25">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row>
    <row r="748" spans="1:28" ht="14.25">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row>
    <row r="749" spans="1:28" ht="14.25">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row>
    <row r="750" spans="1:28" ht="14.25">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row>
    <row r="751" spans="1:28" ht="14.25">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row>
    <row r="752" spans="1:28" ht="14.25">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row>
    <row r="753" spans="1:28" ht="14.25">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row>
    <row r="754" spans="1:28" ht="14.25">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row>
    <row r="755" spans="1:28" ht="14.25">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row>
    <row r="756" spans="1:28" ht="14.25">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row>
    <row r="757" spans="1:28" ht="14.25">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row>
    <row r="758" spans="1:28" ht="14.25">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row>
    <row r="759" spans="1:28" ht="14.25">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row>
    <row r="760" spans="1:28" ht="14.25">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row>
    <row r="761" spans="1:28" ht="14.25">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row>
    <row r="762" spans="1:28" ht="14.25">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row>
    <row r="763" spans="1:28" ht="14.25">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row>
    <row r="764" spans="1:28" ht="14.25">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row>
    <row r="765" spans="1:28" ht="14.25">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row>
    <row r="766" spans="1:28" ht="14.25">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row>
    <row r="767" spans="1:28" ht="14.25">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row>
    <row r="768" spans="1:28" ht="14.25">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row>
    <row r="769" spans="1:28" ht="14.25">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row>
    <row r="770" spans="1:28" ht="14.25">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row>
    <row r="771" spans="1:28" ht="14.25">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row>
    <row r="772" spans="1:28" ht="14.25">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row>
    <row r="773" spans="1:28" ht="14.25">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row>
    <row r="774" spans="1:28" ht="14.25">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row>
    <row r="775" spans="1:28" ht="14.25">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row>
    <row r="776" spans="1:28" ht="14.25">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row>
    <row r="777" spans="1:28" ht="14.25">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row>
    <row r="778" spans="1:28" ht="14.25">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row>
    <row r="779" spans="1:28" ht="14.25">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row>
    <row r="780" spans="1:28" ht="14.25">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row>
    <row r="781" spans="1:28" ht="14.25">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row>
    <row r="782" spans="1:28" ht="14.25">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row>
    <row r="783" spans="1:28" ht="14.25">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row>
    <row r="784" spans="1:28" ht="14.25">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row>
    <row r="785" spans="1:28" ht="14.25">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row>
    <row r="786" spans="1:28" ht="14.25">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row>
    <row r="787" spans="1:28" ht="14.25">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row>
    <row r="788" spans="1:28" ht="14.25">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row>
    <row r="789" spans="1:28" ht="14.25">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row>
    <row r="790" spans="1:28" ht="14.25">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row>
    <row r="791" spans="1:28" ht="14.25">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row>
    <row r="792" spans="1:28" ht="14.25">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row>
    <row r="793" spans="1:28" ht="14.25">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row>
    <row r="794" spans="1:28" ht="14.25">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row>
    <row r="795" spans="1:28" ht="14.25">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row>
    <row r="796" spans="1:28" ht="14.25">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row>
    <row r="797" spans="1:28" ht="14.25">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row>
    <row r="798" spans="1:28" ht="14.25">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row>
    <row r="799" spans="1:28" ht="14.25">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row>
    <row r="800" spans="1:28" ht="14.25">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row>
    <row r="801" spans="1:28" ht="14.25">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row>
    <row r="802" spans="1:28" ht="14.25">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row>
    <row r="803" spans="1:28" ht="14.25">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row>
    <row r="804" spans="1:28" ht="14.25">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row>
    <row r="805" spans="1:28" ht="14.25">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row>
    <row r="806" spans="1:28" ht="14.25">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row>
    <row r="807" spans="1:28" ht="14.25">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row>
    <row r="808" spans="1:28" ht="14.25">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row>
    <row r="809" spans="1:28" ht="14.25">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row>
    <row r="810" spans="1:28" ht="14.25">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row>
    <row r="811" spans="1:28" ht="14.25">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row>
    <row r="812" spans="1:28" ht="14.25">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row>
    <row r="813" spans="1:28" ht="14.25">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row>
    <row r="814" spans="1:28" ht="14.25">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row>
    <row r="815" spans="1:28" ht="14.25">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row>
    <row r="816" spans="1:28" ht="14.25">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row>
    <row r="817" spans="1:28" ht="14.25">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row>
    <row r="818" spans="1:28" ht="14.25">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row>
    <row r="819" spans="1:28" ht="14.25">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row>
    <row r="820" spans="1:28" ht="14.25">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row>
    <row r="821" spans="1:28" ht="14.25">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row>
    <row r="822" spans="1:28" ht="14.25">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row>
    <row r="823" spans="1:28" ht="14.25">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row>
    <row r="824" spans="1:28" ht="14.25">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row>
    <row r="825" spans="1:28" ht="14.25">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row>
    <row r="826" spans="1:28" ht="14.25">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row>
    <row r="827" spans="1:28" ht="14.25">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row>
    <row r="828" spans="1:28" ht="14.25">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row>
    <row r="829" spans="1:28" ht="14.25">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row>
    <row r="830" spans="1:28" ht="14.25">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row>
    <row r="831" spans="1:28" ht="14.25">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row>
    <row r="832" spans="1:28" ht="14.25">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row>
    <row r="833" spans="1:28" ht="14.25">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row>
    <row r="834" spans="1:28" ht="14.25">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row>
    <row r="835" spans="1:28" ht="14.25">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row>
    <row r="836" spans="1:28" ht="14.25">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row>
    <row r="837" spans="1:28" ht="14.25">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row>
    <row r="838" spans="1:28" ht="14.25">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row>
    <row r="839" spans="1:28" ht="14.25">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row>
    <row r="840" spans="1:28" ht="14.25">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row>
    <row r="841" spans="1:28" ht="14.25">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row>
    <row r="842" spans="1:28" ht="14.25">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row>
    <row r="843" spans="1:28" ht="14.25">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row>
    <row r="844" spans="1:28" ht="14.25">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row>
    <row r="845" spans="1:28" ht="14.25">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row>
    <row r="846" spans="1:28" ht="14.25">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row>
    <row r="847" spans="1:28" ht="14.25">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row>
    <row r="848" spans="1:28" ht="14.25">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row>
    <row r="849" spans="1:28" ht="14.25">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row>
    <row r="850" spans="1:28" ht="14.25">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row>
    <row r="851" spans="1:28" ht="14.25">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row>
    <row r="852" spans="1:28" ht="14.25">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row>
    <row r="853" spans="1:28" ht="14.25">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row>
    <row r="854" spans="1:28" ht="14.25">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row>
    <row r="855" spans="1:28" ht="14.25">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row>
    <row r="856" spans="1:28" ht="14.25">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row>
    <row r="857" spans="1:28" ht="14.25">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row>
    <row r="858" spans="1:28" ht="14.25">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row>
    <row r="859" spans="1:28" ht="14.25">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row>
    <row r="860" spans="1:28" ht="14.25">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row>
    <row r="861" spans="1:28" ht="14.25">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row>
    <row r="862" spans="1:28" ht="14.25">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row>
    <row r="863" spans="1:28" ht="14.25">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row>
    <row r="864" spans="1:28" ht="14.25">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row>
    <row r="865" spans="1:28" ht="14.25">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row>
    <row r="866" spans="1:28" ht="14.25">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row>
    <row r="867" spans="1:28" ht="14.25">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row>
    <row r="868" spans="1:28" ht="14.25">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row>
    <row r="869" spans="1:28" ht="14.25">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row>
    <row r="870" spans="1:28" ht="14.25">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row>
    <row r="871" spans="1:28" ht="14.25">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row>
    <row r="872" spans="1:28" ht="14.25">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row>
    <row r="873" spans="1:28" ht="14.25">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row>
    <row r="874" spans="1:28" ht="14.25">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row>
    <row r="875" spans="1:28" ht="14.25">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row>
    <row r="876" spans="1:28" ht="14.25">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row>
    <row r="877" spans="1:28" ht="14.25">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row>
    <row r="878" spans="1:28" ht="14.25">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row>
    <row r="879" spans="1:28" ht="14.25">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row>
    <row r="880" spans="1:28" ht="14.25">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row>
    <row r="881" spans="1:28" ht="14.25">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row>
    <row r="882" spans="1:28" ht="14.25">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row>
    <row r="883" spans="1:28" ht="14.25">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row>
    <row r="884" spans="1:28" ht="14.25">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row>
    <row r="885" spans="1:28" ht="14.25">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row>
    <row r="886" spans="1:28" ht="14.25">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row>
    <row r="887" spans="1:28" ht="14.25">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row>
    <row r="888" spans="1:28" ht="14.25">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row>
    <row r="889" spans="1:28" ht="14.25">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row>
    <row r="890" spans="1:28" ht="14.25">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row>
    <row r="891" spans="1:28" ht="14.25">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row>
    <row r="892" spans="1:28" ht="14.25">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row>
    <row r="893" spans="1:28" ht="14.25">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row>
    <row r="894" spans="1:28" ht="14.25">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row>
    <row r="895" spans="1:28" ht="14.25">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row>
    <row r="896" spans="1:28" ht="14.25">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row>
    <row r="897" spans="1:28" ht="14.25">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row>
    <row r="898" spans="1:28" ht="14.25">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row>
    <row r="899" spans="1:28" ht="14.25">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row>
    <row r="900" spans="1:28" ht="14.25">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row>
    <row r="901" spans="1:28" ht="14.25">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row>
    <row r="902" spans="1:28" ht="14.25">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row>
    <row r="903" spans="1:28" ht="14.25">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row>
    <row r="904" spans="1:28" ht="14.25">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row>
    <row r="905" spans="1:28" ht="14.25">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row>
    <row r="906" spans="1:28" ht="14.25">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row>
    <row r="907" spans="1:28" ht="14.25">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row>
    <row r="908" spans="1:28" ht="14.25">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row>
    <row r="909" spans="1:28" ht="14.25">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row>
    <row r="910" spans="1:28" ht="14.25">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row>
    <row r="911" spans="1:28" ht="14.25">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row>
    <row r="912" spans="1:28" ht="14.25">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row>
    <row r="913" spans="1:28" ht="14.25">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row>
    <row r="914" spans="1:28" ht="14.25">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row>
    <row r="915" spans="1:28" ht="14.25">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row>
    <row r="916" spans="1:28" ht="14.25">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row>
    <row r="917" spans="1:28" ht="14.25">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row>
    <row r="918" spans="1:28" ht="14.25">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row>
    <row r="919" spans="1:28" ht="14.25">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row>
    <row r="920" spans="1:28" ht="14.25">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row>
    <row r="921" spans="1:28" ht="14.25">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row>
    <row r="922" spans="1:28" ht="14.25">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row>
    <row r="923" spans="1:28" ht="14.25">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row>
    <row r="924" spans="1:28" ht="14.25">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row>
    <row r="925" spans="1:28" ht="14.25">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row>
    <row r="926" spans="1:28" ht="14.25">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row>
    <row r="927" spans="1:28" ht="14.25">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row>
    <row r="928" spans="1:28" ht="14.25">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row>
    <row r="929" spans="1:28" ht="14.25">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row>
    <row r="930" spans="1:28" ht="14.25">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row>
    <row r="931" spans="1:28" ht="14.25">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row>
    <row r="932" spans="1:28" ht="14.25">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row>
    <row r="933" spans="1:28" ht="14.25">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row>
    <row r="934" spans="1:28" ht="14.25">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row>
    <row r="935" spans="1:28" ht="14.25">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row>
    <row r="936" spans="1:28" ht="14.25">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row>
    <row r="937" spans="1:28" ht="14.25">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row>
    <row r="938" spans="1:28" ht="14.25">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row>
    <row r="939" spans="1:28" ht="14.25">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row>
    <row r="940" spans="1:28" ht="14.25">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row>
    <row r="941" spans="1:28" ht="14.25">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row>
    <row r="942" spans="1:28" ht="14.25">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row>
    <row r="943" spans="1:28" ht="14.25">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row>
    <row r="944" spans="1:28" ht="14.25">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row>
    <row r="945" spans="1:28" ht="14.25">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row>
    <row r="946" spans="1:28" ht="14.25">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row>
    <row r="947" spans="1:28" ht="14.25">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row>
    <row r="948" spans="1:28" ht="14.25">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row>
    <row r="949" spans="1:28" ht="14.25">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row>
    <row r="950" spans="1:28" ht="14.25">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row>
    <row r="951" spans="1:28" ht="14.25">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row>
    <row r="952" spans="1:28" ht="14.25">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row>
    <row r="953" spans="1:28" ht="14.25">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row>
    <row r="954" spans="1:28" ht="14.25">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row>
    <row r="955" spans="1:28" ht="14.25">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row>
    <row r="956" spans="1:28" ht="14.25">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row>
    <row r="957" spans="1:28" ht="14.25">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row>
    <row r="958" spans="1:28" ht="14.25">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row>
    <row r="959" spans="1:28" ht="14.25">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row>
    <row r="960" spans="1:28" ht="14.25">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row>
    <row r="961" spans="1:28" ht="14.25">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row>
    <row r="962" spans="1:28" ht="14.25">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row>
    <row r="963" spans="1:28" ht="14.25">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row>
    <row r="964" spans="1:28" ht="14.25">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row>
    <row r="965" spans="1:28" ht="14.25">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row>
    <row r="966" spans="1:28" ht="14.25">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row>
    <row r="967" spans="1:28" ht="14.25">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row>
    <row r="968" spans="1:28" ht="14.25">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row>
    <row r="969" spans="1:28" ht="14.25">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row>
    <row r="970" spans="1:28" ht="14.25">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row>
    <row r="971" spans="1:28" ht="14.25">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row>
    <row r="972" spans="1:28" ht="14.25">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row>
    <row r="973" spans="1:28" ht="14.25">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row>
    <row r="974" spans="1:28" ht="14.25">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row>
    <row r="975" spans="1:28" ht="14.25">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row>
    <row r="976" spans="1:28" ht="14.25">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row>
    <row r="977" spans="1:28" ht="14.25">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row>
    <row r="978" spans="1:28" ht="14.25">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row>
    <row r="979" spans="1:28" ht="14.25">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row>
    <row r="980" spans="1:28" ht="14.25">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row>
    <row r="981" spans="1:28" ht="14.25">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row>
    <row r="982" spans="1:28" ht="14.25">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row>
    <row r="983" spans="1:28" ht="14.25">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row>
    <row r="984" spans="1:28" ht="14.25">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row>
    <row r="985" spans="1:28" ht="14.25">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row>
    <row r="986" spans="1:28" ht="14.25">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row>
    <row r="987" spans="1:28" ht="14.25">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row>
    <row r="988" spans="1:28" ht="14.25">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row>
    <row r="989" spans="1:28" ht="14.25">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row>
    <row r="990" spans="1:28" ht="14.25">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row>
    <row r="991" spans="1:28" ht="14.25">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row>
    <row r="992" spans="1:28" ht="14.25">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row>
    <row r="993" spans="1:28" ht="14.25">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row>
    <row r="994" spans="1:28" ht="14.25">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row>
    <row r="995" spans="1:28" ht="14.25">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row>
    <row r="996" spans="1:28" ht="14.25">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row>
    <row r="997" spans="1:28" ht="14.25">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row>
    <row r="998" spans="1:28" ht="14.25">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row>
    <row r="999" spans="1:28" ht="14.25">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row>
    <row r="1000" spans="1:28" ht="14.25">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row>
    <row r="1001" spans="1:28" ht="14.25">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row>
    <row r="1002" spans="1:28" ht="14.25">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row>
    <row r="1003" spans="1:28" ht="14.25">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row>
  </sheetData>
  <mergeCells count="28">
    <mergeCell ref="B27:K27"/>
    <mergeCell ref="D30:F31"/>
    <mergeCell ref="G30:I31"/>
    <mergeCell ref="B35:D35"/>
    <mergeCell ref="E35:G35"/>
    <mergeCell ref="A22:A24"/>
    <mergeCell ref="C22:D22"/>
    <mergeCell ref="E22:G22"/>
    <mergeCell ref="H22:I22"/>
    <mergeCell ref="C23:D23"/>
    <mergeCell ref="E23:G23"/>
    <mergeCell ref="H23:I23"/>
    <mergeCell ref="C24:D24"/>
    <mergeCell ref="E24:G24"/>
    <mergeCell ref="H24:I24"/>
    <mergeCell ref="A18:B18"/>
    <mergeCell ref="G18:K18"/>
    <mergeCell ref="A19:E19"/>
    <mergeCell ref="G19:J19"/>
    <mergeCell ref="A21:K21"/>
    <mergeCell ref="A1:F1"/>
    <mergeCell ref="H1:J1"/>
    <mergeCell ref="K8:K10"/>
    <mergeCell ref="H11:I11"/>
    <mergeCell ref="G15:G16"/>
    <mergeCell ref="H15:K16"/>
    <mergeCell ref="J13:K13"/>
    <mergeCell ref="J14:K14"/>
  </mergeCells>
  <conditionalFormatting sqref="F3 F5:F17">
    <cfRule type="cellIs" dxfId="4" priority="3" operator="equal">
      <formula>"Ekle"</formula>
    </cfRule>
  </conditionalFormatting>
  <conditionalFormatting sqref="F3 F5:F17">
    <cfRule type="cellIs" dxfId="3" priority="4" operator="equal">
      <formula>"Çıkar"</formula>
    </cfRule>
  </conditionalFormatting>
  <conditionalFormatting sqref="D3 D5:D17">
    <cfRule type="cellIs" dxfId="2" priority="5" operator="equal">
      <formula>0</formula>
    </cfRule>
  </conditionalFormatting>
  <conditionalFormatting sqref="A5:A17 A3">
    <cfRule type="expression" dxfId="1" priority="6">
      <formula>LEN(TRIM(A3))&gt;0</formula>
    </cfRule>
  </conditionalFormatting>
  <dataValidations count="10">
    <dataValidation type="list" operator="equal" allowBlank="1" showInputMessage="1" prompt="Listedeki metni seçebilir ya da kendiniz girebilirsiniz" sqref="A5:A17 A3">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type="list" operator="equal" allowBlank="1" sqref="B3">
      <formula1>"0,1,2,3,4,5,6,7,8,9,10,11,12,13,14,15"</formula1>
      <formula2>0</formula2>
    </dataValidation>
    <dataValidation type="list" operator="equal" allowBlank="1" sqref="C3">
      <formula1>"1,2"</formula1>
      <formula2>0</formula2>
    </dataValidation>
    <dataValidation type="list" operator="equal" allowBlank="1" showInputMessage="1" showErrorMessage="1" prompt="Belirteçle test edilen unsuru Toplam'a ekleyebilir, çıkartabilirsiniz." sqref="F3">
      <formula1>"Ekle,Çıkar"</formula1>
      <formula2>0</formula2>
    </dataValidation>
    <dataValidation type="list" operator="equal" allowBlank="1" showErrorMessage="1" sqref="F5:F17">
      <formula1>"Ekle,Çıkar"</formula1>
      <formula2>0</formula2>
    </dataValidation>
    <dataValidation type="list" operator="equal" allowBlank="1" showErrorMessage="1" sqref="G1">
      <formula1>"A,B,C,D"</formula1>
      <formula2>0</formula2>
    </dataValidation>
    <dataValidation type="list" operator="equal" allowBlank="1" showErrorMessage="1" sqref="G13">
      <formula1>"İbranice,Arapça,Türkçe"</formula1>
      <formula2>0</formula2>
    </dataValidation>
    <dataValidation type="list" operator="equal" allowBlank="1" sqref="I12">
      <formula1>"0,1,2,3,4,5,6,7,8,9,10,11,12,35,72,146"</formula1>
      <formula2>0</formula2>
    </dataValidation>
    <dataValidation type="list" operator="equal" allowBlank="1" sqref="I13">
      <formula1>"ULVI-Y,SUFLI,ŞER,ءيل,ULVI"</formula1>
      <formula2>0</formula2>
    </dataValidation>
    <dataValidation type="list" allowBlank="1" showInputMessage="1" showErrorMessage="1" prompt="1000'den büyük harf dönüşümlerinde ÇOĞUL ekle" sqref="G14">
      <formula1>"Mod 1,Mod 2"</formula1>
    </dataValidation>
  </dataValidations>
  <hyperlinks>
    <hyperlink ref="H11" r:id="rId1"/>
    <hyperlink ref="G18" r:id="rId2"/>
    <hyperlink ref="K19" r:id="rId3"/>
    <hyperlink ref="A20" r:id="rId4"/>
    <hyperlink ref="C22" r:id="rId5"/>
    <hyperlink ref="H22" r:id="rId6"/>
    <hyperlink ref="C23" r:id="rId7"/>
    <hyperlink ref="H23" r:id="rId8"/>
    <hyperlink ref="C24" r:id="rId9"/>
    <hyperlink ref="H24" r:id="rId10"/>
    <hyperlink ref="A27" r:id="rId11"/>
    <hyperlink ref="A28" r:id="rId12"/>
    <hyperlink ref="A29" r:id="rId13"/>
    <hyperlink ref="A30" r:id="rId14"/>
    <hyperlink ref="D30" r:id="rId15"/>
    <hyperlink ref="G30" r:id="rId16"/>
    <hyperlink ref="A31" r:id="rId17"/>
    <hyperlink ref="A32" r:id="rId18"/>
    <hyperlink ref="A33" r:id="rId19"/>
    <hyperlink ref="A35" r:id="rId20"/>
  </hyperlinks>
  <printOptions horizontalCentered="1" gridLines="1"/>
  <pageMargins left="0.7" right="0.7" top="0.75" bottom="0.75" header="0.51180555555555496" footer="0.51180555555555496"/>
  <pageSetup paperSize="9" firstPageNumber="0" fitToHeight="0" pageOrder="overThenDown" orientation="landscape" horizontalDpi="300" verticalDpi="30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C1003"/>
  <sheetViews>
    <sheetView zoomScale="90" zoomScaleNormal="90" workbookViewId="0">
      <selection activeCell="A3" sqref="A3"/>
    </sheetView>
  </sheetViews>
  <sheetFormatPr defaultColWidth="11.5703125" defaultRowHeight="12.75"/>
  <cols>
    <col min="1" max="3" width="49.140625" customWidth="1"/>
    <col min="4" max="64" width="12.5703125" customWidth="1"/>
  </cols>
  <sheetData>
    <row r="1" spans="1:3" ht="18">
      <c r="A1" s="94"/>
      <c r="B1" s="94"/>
      <c r="C1" s="94"/>
    </row>
    <row r="2" spans="1:3" ht="18">
      <c r="A2" s="56" t="str">
        <f>'4ncü Derece'!A2</f>
        <v>🠳 Arapça İsim 🠳</v>
      </c>
      <c r="B2" s="57" t="str">
        <f>'4ncü Derece'!A18</f>
        <v>Tablo kodu: Sağir ebced değeri 🜨</v>
      </c>
      <c r="C2" s="56" t="s">
        <v>73</v>
      </c>
    </row>
    <row r="3" spans="1:3" ht="15">
      <c r="A3" s="58" t="str">
        <f>IF('4ncü Derece'!A3=0,"",'4ncü Derece'!A3)</f>
        <v/>
      </c>
      <c r="B3" s="59" t="str">
        <f>IF('4ncü Derece'!C3=1,ABJAD(SAF('4ncü Derece'!A3,""),'4ncü Derece'!B3,'4ncü Derece'!C3,1),ABJAD('4ncü Derece'!A3,'4ncü Derece'!B3,'4ncü Derece'!C3,1))</f>
        <v/>
      </c>
      <c r="C3" s="59" t="str">
        <f>IF('4ncü Derece'!C3=1,WORDBYWORD(SAF('4ncü Derece'!A3,""),'4ncü Derece'!B3,'4ncü Derece'!D3),WORDBYWORD('4ncü Derece'!A3,'4ncü Derece'!B3,'4ncü Derece'!C3))</f>
        <v/>
      </c>
    </row>
    <row r="4" spans="1:3" ht="18">
      <c r="A4" s="56" t="str">
        <f>'4ncü Derece'!A4</f>
        <v>🠳 Arapça Metin Girişi 🠳</v>
      </c>
      <c r="B4" s="57" t="str">
        <f>'4ncü Derece'!A18</f>
        <v>Tablo kodu: Sağir ebced değeri 🜨</v>
      </c>
      <c r="C4" s="56" t="s">
        <v>73</v>
      </c>
    </row>
    <row r="5" spans="1:3" ht="105">
      <c r="A5" s="58" t="str">
        <f>IF('4ncü Derece'!A5=0,"",'4ncü Derece'!A5)</f>
        <v xml:space="preserve">وَلَقَدْ مَكَّنَّاكُمْ فِي الأَرْضِ وَجَعَلْنَا لَكُمْ فِيهَا مَعَايِشَ قَلِيلاً مَّا تَشْكُرُونَ </v>
      </c>
      <c r="B5" s="59" t="str">
        <f>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59" t="str">
        <f>IF('4ncü Derece'!C5=1,WORDBYWORD(SAF('4ncü Derece'!A5,""),'4ncü Derece'!B5,'4ncü Derece'!D5),WORDBYWORD('4ncü Derece'!A5,'4ncü Derece'!B5,'4ncü Derece'!C5))</f>
        <v xml:space="preserve">ولقد (140) مكناكم (171) في (90) الارض (1032) وجعلنا (160) لكم (90) فيها (96) معايش (421) قليلا (171) ما (41) تشكرون (976) </v>
      </c>
    </row>
    <row r="6" spans="1:3" ht="120">
      <c r="A6" s="58" t="str">
        <f>IF('4ncü Derece'!A6=0,"",'4ncü Derece'!A6)</f>
        <v xml:space="preserve">لِيَجْزِيَهُمُ اللَّهُ أَحْسَنَ مَا عَمِلُوا وَيَزِيدَهُم مِّن فَضْلِهِ وَاللَّهُ يَرْزُقُ مَن يَشَاء بِغَيْرِ حِسَابٍ </v>
      </c>
      <c r="B6" s="59" t="str">
        <f>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59" t="str">
        <f>IF('4ncü Derece'!C6=1,WORDBYWORD(SAF('4ncü Derece'!A6,""),'4ncü Derece'!B6,'4ncü Derece'!D6),WORDBYWORD('4ncü Derece'!A6,'4ncü Derece'!B6,'4ncü Derece'!C6))</f>
        <v xml:space="preserve">ليجزيهم (105) الله (66) احسن (119) ما (41) عملوا (147) ويزيدهم (82) من (90) فضله (915) والله (72) يرزق (317) من (90) يشاء (312) بغير (1212) حساب (71) </v>
      </c>
    </row>
    <row r="7" spans="1:3" ht="45">
      <c r="A7" s="58" t="str">
        <f>IF('4ncü Derece'!A7=0,"",'4ncü Derece'!A7)</f>
        <v xml:space="preserve">إِنَّ هَذَا لَرِزْقُنَا مَا لَهُ مِن نَّفَادٍ </v>
      </c>
      <c r="B7" s="59" t="str">
        <f>IF('4ncü Derece'!C7=1,ABJAD(SAF('4ncü Derece'!A7,""),'4ncü Derece'!B7,'4ncü Derece'!C7,1),ABJAD('4ncü Derece'!A7,'4ncü Derece'!B7,'4ncü Derece'!C7,1))</f>
        <v>[ا=1][ن=50][ه=5][ذ=700][ا=1][ل=30][ر=200][ز=7][ق=100][ن=50][ا=1][م=40][ا=1][ل=30][ه=5][م=40][ن=50][ن=50][ف=80][ا=1][د=4]</v>
      </c>
      <c r="C7" s="59" t="str">
        <f>IF('4ncü Derece'!C7=1,WORDBYWORD(SAF('4ncü Derece'!A7,""),'4ncü Derece'!B7,'4ncü Derece'!D7),WORDBYWORD('4ncü Derece'!A7,'4ncü Derece'!B7,'4ncü Derece'!C7))</f>
        <v xml:space="preserve">ان (51) هذا (706) لرزقنا (388) ما (41) له (35) من (90) نفاد (135) </v>
      </c>
    </row>
    <row r="8" spans="1:3" ht="15">
      <c r="A8" s="58" t="str">
        <f>IF('4ncü Derece'!A8=0,"",'4ncü Derece'!A8)</f>
        <v/>
      </c>
      <c r="B8" s="59" t="str">
        <f>IF('4ncü Derece'!C8=1,ABJAD(SAF('4ncü Derece'!A8,""),'4ncü Derece'!B8,'4ncü Derece'!C8,1),ABJAD('4ncü Derece'!A8,'4ncü Derece'!B8,'4ncü Derece'!C8,1))</f>
        <v/>
      </c>
      <c r="C8" s="59" t="str">
        <f>IF('4ncü Derece'!C8=1,WORDBYWORD(SAF('4ncü Derece'!A8,""),'4ncü Derece'!B8,'4ncü Derece'!D8),WORDBYWORD('4ncü Derece'!A8,'4ncü Derece'!B8,'4ncü Derece'!C8))</f>
        <v/>
      </c>
    </row>
    <row r="9" spans="1:3" ht="15">
      <c r="A9" s="58" t="str">
        <f>IF('4ncü Derece'!A9=0,"",'4ncü Derece'!A9)</f>
        <v/>
      </c>
      <c r="B9" s="59" t="str">
        <f>IF('4ncü Derece'!C9=1,ABJAD(SAF('4ncü Derece'!A9,""),'4ncü Derece'!B9,'4ncü Derece'!C9,1),ABJAD('4ncü Derece'!A9,'4ncü Derece'!B9,'4ncü Derece'!C9,1))</f>
        <v/>
      </c>
      <c r="C9" s="59" t="str">
        <f>IF('4ncü Derece'!C9=1,WORDBYWORD(SAF('4ncü Derece'!A9,""),'4ncü Derece'!B9,'4ncü Derece'!D9),WORDBYWORD('4ncü Derece'!A9,'4ncü Derece'!B9,'4ncü Derece'!C9))</f>
        <v/>
      </c>
    </row>
    <row r="10" spans="1:3" ht="15">
      <c r="A10" s="58" t="str">
        <f>IF('4ncü Derece'!A10=0,"",'4ncü Derece'!A10)</f>
        <v/>
      </c>
      <c r="B10" s="59" t="str">
        <f>IF('4ncü Derece'!C10=1,ABJAD(SAF('4ncü Derece'!A10,""),'4ncü Derece'!B10,'4ncü Derece'!C10,1),ABJAD('4ncü Derece'!A10,'4ncü Derece'!B10,'4ncü Derece'!C10,1))</f>
        <v/>
      </c>
      <c r="C10" s="59" t="str">
        <f>IF('4ncü Derece'!C10=1,WORDBYWORD(SAF('4ncü Derece'!A10,""),'4ncü Derece'!B10,'4ncü Derece'!D10),WORDBYWORD('4ncü Derece'!A10,'4ncü Derece'!B10,'4ncü Derece'!C10))</f>
        <v/>
      </c>
    </row>
    <row r="11" spans="1:3" ht="15">
      <c r="A11" s="58" t="str">
        <f>IF('4ncü Derece'!A11=0,"",'4ncü Derece'!A11)</f>
        <v/>
      </c>
      <c r="B11" s="59" t="str">
        <f>IF('4ncü Derece'!C11=1,ABJAD(SAF('4ncü Derece'!A11,""),'4ncü Derece'!B11,'4ncü Derece'!C11,1),ABJAD('4ncü Derece'!A11,'4ncü Derece'!B11,'4ncü Derece'!C11,1))</f>
        <v/>
      </c>
      <c r="C11" s="59" t="str">
        <f>IF('4ncü Derece'!C11=1,WORDBYWORD(SAF('4ncü Derece'!A11,""),'4ncü Derece'!B11,'4ncü Derece'!D11),WORDBYWORD('4ncü Derece'!A11,'4ncü Derece'!B11,'4ncü Derece'!C11))</f>
        <v/>
      </c>
    </row>
    <row r="12" spans="1:3" ht="15">
      <c r="A12" s="58" t="str">
        <f>IF('4ncü Derece'!A12=0,"",'4ncü Derece'!A12)</f>
        <v/>
      </c>
      <c r="B12" s="59" t="str">
        <f>IF('4ncü Derece'!C12=1,ABJAD(SAF('4ncü Derece'!A12,""),'4ncü Derece'!B12,'4ncü Derece'!C12,1),ABJAD('4ncü Derece'!A12,'4ncü Derece'!B12,'4ncü Derece'!C12,1))</f>
        <v/>
      </c>
      <c r="C12" s="59" t="str">
        <f>IF('4ncü Derece'!C12=1,WORDBYWORD(SAF('4ncü Derece'!A12,""),'4ncü Derece'!B12,'4ncü Derece'!D12),WORDBYWORD('4ncü Derece'!A12,'4ncü Derece'!B12,'4ncü Derece'!C12))</f>
        <v/>
      </c>
    </row>
    <row r="13" spans="1:3" ht="15">
      <c r="A13" s="58" t="str">
        <f>IF('4ncü Derece'!A13=0,"",'4ncü Derece'!A13)</f>
        <v/>
      </c>
      <c r="B13" s="59" t="str">
        <f>IF('4ncü Derece'!C13=1,ABJAD(SAF('4ncü Derece'!A13,""),'4ncü Derece'!B13,'4ncü Derece'!C13,1),ABJAD('4ncü Derece'!A13,'4ncü Derece'!B13,'4ncü Derece'!C13,1))</f>
        <v/>
      </c>
      <c r="C13" s="59" t="str">
        <f>IF('4ncü Derece'!C13=1,WORDBYWORD(SAF('4ncü Derece'!A13,""),'4ncü Derece'!B13,'4ncü Derece'!D13),WORDBYWORD('4ncü Derece'!A13,'4ncü Derece'!B13,'4ncü Derece'!C13))</f>
        <v/>
      </c>
    </row>
    <row r="14" spans="1:3" ht="15">
      <c r="A14" s="58" t="str">
        <f>IF('4ncü Derece'!A14=0,"",'4ncü Derece'!A14)</f>
        <v/>
      </c>
      <c r="B14" s="59" t="str">
        <f>IF('4ncü Derece'!C14=1,ABJAD(SAF('4ncü Derece'!A14,""),'4ncü Derece'!B14,'4ncü Derece'!C14,1),ABJAD('4ncü Derece'!A14,'4ncü Derece'!B14,'4ncü Derece'!C14,1))</f>
        <v/>
      </c>
      <c r="C14" s="59" t="str">
        <f>IF('4ncü Derece'!C14=1,WORDBYWORD(SAF('4ncü Derece'!A14,""),'4ncü Derece'!B14,'4ncü Derece'!D14),WORDBYWORD('4ncü Derece'!A14,'4ncü Derece'!B14,'4ncü Derece'!C14))</f>
        <v/>
      </c>
    </row>
    <row r="15" spans="1:3" ht="15">
      <c r="A15" s="58" t="str">
        <f>IF('4ncü Derece'!A15=0,"",'4ncü Derece'!A15)</f>
        <v/>
      </c>
      <c r="B15" s="59" t="str">
        <f>IF('4ncü Derece'!C15=1,ABJAD(SAF('4ncü Derece'!A15,""),'4ncü Derece'!B15,'4ncü Derece'!C15,1),ABJAD('4ncü Derece'!A15,'4ncü Derece'!B15,'4ncü Derece'!C15,1))</f>
        <v/>
      </c>
      <c r="C15" s="59" t="str">
        <f>IF('4ncü Derece'!C15=1,WORDBYWORD(SAF('4ncü Derece'!A15,""),'4ncü Derece'!B15,'4ncü Derece'!D15),WORDBYWORD('4ncü Derece'!A15,'4ncü Derece'!B15,'4ncü Derece'!C15))</f>
        <v/>
      </c>
    </row>
    <row r="16" spans="1:3" ht="15">
      <c r="A16" s="58" t="str">
        <f>IF('4ncü Derece'!A16=0,"",'4ncü Derece'!A16)</f>
        <v/>
      </c>
      <c r="B16" s="59" t="str">
        <f>IF('4ncü Derece'!C16=1,ABJAD(SAF('4ncü Derece'!A16,""),'4ncü Derece'!B16,'4ncü Derece'!C16,1),ABJAD('4ncü Derece'!A16,'4ncü Derece'!B16,'4ncü Derece'!C16,1))</f>
        <v/>
      </c>
      <c r="C16" s="59" t="str">
        <f>IF('4ncü Derece'!C16=1,WORDBYWORD(SAF('4ncü Derece'!A16,""),'4ncü Derece'!B16,'4ncü Derece'!D16),WORDBYWORD('4ncü Derece'!A16,'4ncü Derece'!B16,'4ncü Derece'!C16))</f>
        <v/>
      </c>
    </row>
    <row r="17" spans="1:3" ht="15">
      <c r="A17" s="58" t="str">
        <f>IF('4ncü Derece'!A17=0,"",'4ncü Derece'!A17)</f>
        <v/>
      </c>
      <c r="B17" s="59" t="str">
        <f>IF('4ncü Derece'!C17=1,ABJAD(SAF('4ncü Derece'!A17,""),'4ncü Derece'!B17,'4ncü Derece'!C17,1),ABJAD('4ncü Derece'!A17,'4ncü Derece'!B17,'4ncü Derece'!C17,1))</f>
        <v/>
      </c>
      <c r="C17" s="59" t="str">
        <f>IF('4ncü Derece'!C17=1,WORDBYWORD(SAF('4ncü Derece'!A17,""),'4ncü Derece'!B17,'4ncü Derece'!D17),WORDBYWORD('4ncü Derece'!A17,'4ncü Derece'!B17,'4ncü Derece'!C17))</f>
        <v/>
      </c>
    </row>
    <row r="18" spans="1:3" ht="18">
      <c r="A18" s="60" t="s">
        <v>74</v>
      </c>
      <c r="B18" s="60" t="str">
        <f>IF('4ncü Derece'!C3 = 1, "Şeddeli harfi tek sefer hesaba kat", "Şeddeli harfi iki kere hesaba kat")</f>
        <v>Şeddeli harfi tek sefer hesaba kat</v>
      </c>
      <c r="C18" s="60" t="s">
        <v>73</v>
      </c>
    </row>
    <row r="19" spans="1:3" ht="14.25">
      <c r="A19" s="61"/>
      <c r="B19" s="62"/>
    </row>
    <row r="20" spans="1:3" ht="14.25">
      <c r="A20" s="61"/>
      <c r="B20" s="62"/>
    </row>
    <row r="21" spans="1:3" ht="14.25">
      <c r="A21" s="61"/>
      <c r="B21" s="62"/>
    </row>
    <row r="22" spans="1:3" ht="14.25">
      <c r="A22" s="61"/>
      <c r="B22" s="62"/>
    </row>
    <row r="23" spans="1:3" ht="14.25">
      <c r="A23" s="61"/>
      <c r="B23" s="62"/>
    </row>
    <row r="24" spans="1:3" ht="14.25">
      <c r="A24" s="61"/>
      <c r="B24" s="62"/>
    </row>
    <row r="25" spans="1:3" ht="14.25">
      <c r="A25" s="61"/>
      <c r="B25" s="62"/>
    </row>
    <row r="26" spans="1:3" ht="14.25">
      <c r="A26" s="61"/>
      <c r="B26" s="62"/>
    </row>
    <row r="27" spans="1:3" ht="14.25">
      <c r="A27" s="61"/>
      <c r="B27" s="62"/>
    </row>
    <row r="28" spans="1:3" ht="14.25">
      <c r="A28" s="61"/>
      <c r="B28" s="62"/>
    </row>
    <row r="29" spans="1:3" ht="14.25">
      <c r="A29" s="61"/>
      <c r="B29" s="62"/>
    </row>
    <row r="30" spans="1:3" ht="14.25">
      <c r="A30" s="61"/>
      <c r="B30" s="62"/>
    </row>
    <row r="31" spans="1:3" ht="14.25">
      <c r="A31" s="61"/>
      <c r="B31" s="62"/>
    </row>
    <row r="32" spans="1:3" ht="14.25">
      <c r="A32" s="61"/>
      <c r="B32" s="62"/>
    </row>
    <row r="33" spans="1:2" ht="14.25">
      <c r="A33" s="61"/>
      <c r="B33" s="62"/>
    </row>
    <row r="34" spans="1:2" ht="14.25">
      <c r="A34" s="61"/>
      <c r="B34" s="62"/>
    </row>
    <row r="35" spans="1:2" ht="14.25">
      <c r="A35" s="61"/>
      <c r="B35" s="62"/>
    </row>
    <row r="36" spans="1:2" ht="14.25">
      <c r="A36" s="61"/>
      <c r="B36" s="62"/>
    </row>
    <row r="37" spans="1:2" ht="14.25">
      <c r="A37" s="61"/>
      <c r="B37" s="62"/>
    </row>
    <row r="38" spans="1:2" ht="14.25">
      <c r="A38" s="61"/>
      <c r="B38" s="62"/>
    </row>
    <row r="39" spans="1:2" ht="14.25">
      <c r="A39" s="61"/>
      <c r="B39" s="62"/>
    </row>
    <row r="40" spans="1:2" ht="14.25">
      <c r="A40" s="61"/>
      <c r="B40" s="62"/>
    </row>
    <row r="41" spans="1:2" ht="14.25">
      <c r="A41" s="61"/>
      <c r="B41" s="62"/>
    </row>
    <row r="42" spans="1:2" ht="14.25">
      <c r="A42" s="61"/>
      <c r="B42" s="62"/>
    </row>
    <row r="43" spans="1:2" ht="14.25">
      <c r="A43" s="61"/>
      <c r="B43" s="62"/>
    </row>
    <row r="44" spans="1:2" ht="14.25">
      <c r="A44" s="61"/>
      <c r="B44" s="62"/>
    </row>
    <row r="45" spans="1:2" ht="14.25">
      <c r="A45" s="61"/>
      <c r="B45" s="62"/>
    </row>
    <row r="46" spans="1:2" ht="14.25">
      <c r="A46" s="61"/>
      <c r="B46" s="62"/>
    </row>
    <row r="47" spans="1:2" ht="14.25">
      <c r="A47" s="61"/>
      <c r="B47" s="62"/>
    </row>
    <row r="48" spans="1:2" ht="14.25">
      <c r="A48" s="61"/>
      <c r="B48" s="62"/>
    </row>
    <row r="49" spans="1:2" ht="14.25">
      <c r="A49" s="61"/>
      <c r="B49" s="62"/>
    </row>
    <row r="50" spans="1:2" ht="14.25">
      <c r="A50" s="61"/>
      <c r="B50" s="62"/>
    </row>
    <row r="51" spans="1:2" ht="14.25">
      <c r="A51" s="61"/>
      <c r="B51" s="62"/>
    </row>
    <row r="52" spans="1:2" ht="14.25">
      <c r="A52" s="61"/>
      <c r="B52" s="62"/>
    </row>
    <row r="53" spans="1:2" ht="14.25">
      <c r="A53" s="61"/>
      <c r="B53" s="62"/>
    </row>
    <row r="54" spans="1:2" ht="14.25">
      <c r="A54" s="61"/>
      <c r="B54" s="62"/>
    </row>
    <row r="55" spans="1:2" ht="14.25">
      <c r="A55" s="61"/>
      <c r="B55" s="62"/>
    </row>
    <row r="56" spans="1:2" ht="14.25">
      <c r="A56" s="61"/>
      <c r="B56" s="62"/>
    </row>
    <row r="57" spans="1:2" ht="14.25">
      <c r="A57" s="61"/>
      <c r="B57" s="62"/>
    </row>
    <row r="58" spans="1:2" ht="14.25">
      <c r="A58" s="61"/>
      <c r="B58" s="62"/>
    </row>
    <row r="59" spans="1:2" ht="14.25">
      <c r="A59" s="61"/>
      <c r="B59" s="62"/>
    </row>
    <row r="60" spans="1:2" ht="14.25">
      <c r="A60" s="61"/>
      <c r="B60" s="62"/>
    </row>
    <row r="61" spans="1:2" ht="14.25">
      <c r="A61" s="61"/>
      <c r="B61" s="62"/>
    </row>
    <row r="62" spans="1:2" ht="14.25">
      <c r="A62" s="61"/>
      <c r="B62" s="62"/>
    </row>
    <row r="63" spans="1:2" ht="14.25">
      <c r="A63" s="61"/>
      <c r="B63" s="62"/>
    </row>
    <row r="64" spans="1:2" ht="14.25">
      <c r="A64" s="61"/>
      <c r="B64" s="62"/>
    </row>
    <row r="65" spans="1:2" ht="14.25">
      <c r="A65" s="61"/>
      <c r="B65" s="62"/>
    </row>
    <row r="66" spans="1:2" ht="14.25">
      <c r="A66" s="61"/>
      <c r="B66" s="62"/>
    </row>
    <row r="67" spans="1:2" ht="14.25">
      <c r="A67" s="61"/>
      <c r="B67" s="62"/>
    </row>
    <row r="68" spans="1:2" ht="14.25">
      <c r="A68" s="61"/>
      <c r="B68" s="62"/>
    </row>
    <row r="69" spans="1:2" ht="14.25">
      <c r="A69" s="61"/>
      <c r="B69" s="62"/>
    </row>
    <row r="70" spans="1:2" ht="14.25">
      <c r="A70" s="61"/>
      <c r="B70" s="62"/>
    </row>
    <row r="71" spans="1:2" ht="14.25">
      <c r="A71" s="61"/>
      <c r="B71" s="62"/>
    </row>
    <row r="72" spans="1:2" ht="14.25">
      <c r="A72" s="61"/>
      <c r="B72" s="62"/>
    </row>
    <row r="73" spans="1:2" ht="14.25">
      <c r="A73" s="61"/>
      <c r="B73" s="62"/>
    </row>
    <row r="74" spans="1:2" ht="14.25">
      <c r="A74" s="61"/>
      <c r="B74" s="62"/>
    </row>
    <row r="75" spans="1:2" ht="14.25">
      <c r="A75" s="61"/>
      <c r="B75" s="62"/>
    </row>
    <row r="76" spans="1:2" ht="14.25">
      <c r="A76" s="61"/>
      <c r="B76" s="62"/>
    </row>
    <row r="77" spans="1:2" ht="14.25">
      <c r="A77" s="61"/>
      <c r="B77" s="62"/>
    </row>
    <row r="78" spans="1:2" ht="14.25">
      <c r="A78" s="61"/>
      <c r="B78" s="62"/>
    </row>
    <row r="79" spans="1:2" ht="14.25">
      <c r="A79" s="61"/>
      <c r="B79" s="62"/>
    </row>
    <row r="80" spans="1:2" ht="14.25">
      <c r="A80" s="61"/>
      <c r="B80" s="62"/>
    </row>
    <row r="81" spans="1:2" ht="14.25">
      <c r="A81" s="61"/>
      <c r="B81" s="62"/>
    </row>
    <row r="82" spans="1:2" ht="14.25">
      <c r="A82" s="61"/>
      <c r="B82" s="62"/>
    </row>
    <row r="83" spans="1:2" ht="14.25">
      <c r="A83" s="61"/>
      <c r="B83" s="62"/>
    </row>
    <row r="84" spans="1:2" ht="14.25">
      <c r="A84" s="61"/>
      <c r="B84" s="62"/>
    </row>
    <row r="85" spans="1:2" ht="14.25">
      <c r="A85" s="61"/>
      <c r="B85" s="62"/>
    </row>
    <row r="86" spans="1:2" ht="14.25">
      <c r="A86" s="61"/>
      <c r="B86" s="62"/>
    </row>
    <row r="87" spans="1:2" ht="14.25">
      <c r="A87" s="61"/>
      <c r="B87" s="62"/>
    </row>
    <row r="88" spans="1:2" ht="14.25">
      <c r="A88" s="61"/>
      <c r="B88" s="62"/>
    </row>
    <row r="89" spans="1:2" ht="14.25">
      <c r="A89" s="61"/>
      <c r="B89" s="62"/>
    </row>
    <row r="90" spans="1:2" ht="14.25">
      <c r="A90" s="61"/>
      <c r="B90" s="62"/>
    </row>
    <row r="91" spans="1:2" ht="14.25">
      <c r="A91" s="61"/>
      <c r="B91" s="62"/>
    </row>
    <row r="92" spans="1:2" ht="14.25">
      <c r="A92" s="61"/>
      <c r="B92" s="62"/>
    </row>
    <row r="93" spans="1:2" ht="14.25">
      <c r="A93" s="61"/>
      <c r="B93" s="62"/>
    </row>
    <row r="94" spans="1:2" ht="14.25">
      <c r="A94" s="61"/>
      <c r="B94" s="62"/>
    </row>
    <row r="95" spans="1:2" ht="14.25">
      <c r="A95" s="61"/>
      <c r="B95" s="62"/>
    </row>
    <row r="96" spans="1:2" ht="14.25">
      <c r="A96" s="61"/>
      <c r="B96" s="62"/>
    </row>
    <row r="97" spans="1:2" ht="14.25">
      <c r="A97" s="61"/>
      <c r="B97" s="62"/>
    </row>
    <row r="98" spans="1:2" ht="14.25">
      <c r="A98" s="61"/>
      <c r="B98" s="62"/>
    </row>
    <row r="99" spans="1:2" ht="14.25">
      <c r="A99" s="61"/>
      <c r="B99" s="62"/>
    </row>
    <row r="100" spans="1:2" ht="14.25">
      <c r="A100" s="61"/>
      <c r="B100" s="62"/>
    </row>
    <row r="101" spans="1:2" ht="14.25">
      <c r="A101" s="61"/>
      <c r="B101" s="62"/>
    </row>
    <row r="102" spans="1:2" ht="14.25">
      <c r="A102" s="61"/>
      <c r="B102" s="62"/>
    </row>
    <row r="103" spans="1:2" ht="14.25">
      <c r="A103" s="61"/>
      <c r="B103" s="62"/>
    </row>
    <row r="104" spans="1:2" ht="14.25">
      <c r="A104" s="61"/>
      <c r="B104" s="62"/>
    </row>
    <row r="105" spans="1:2" ht="14.25">
      <c r="A105" s="61"/>
      <c r="B105" s="62"/>
    </row>
    <row r="106" spans="1:2" ht="14.25">
      <c r="A106" s="61"/>
      <c r="B106" s="62"/>
    </row>
    <row r="107" spans="1:2" ht="14.25">
      <c r="A107" s="61"/>
      <c r="B107" s="62"/>
    </row>
    <row r="108" spans="1:2" ht="14.25">
      <c r="A108" s="61"/>
      <c r="B108" s="62"/>
    </row>
    <row r="109" spans="1:2" ht="14.25">
      <c r="A109" s="61"/>
      <c r="B109" s="62"/>
    </row>
    <row r="110" spans="1:2" ht="14.25">
      <c r="A110" s="61"/>
      <c r="B110" s="62"/>
    </row>
    <row r="111" spans="1:2" ht="14.25">
      <c r="A111" s="61"/>
      <c r="B111" s="62"/>
    </row>
    <row r="112" spans="1:2" ht="14.25">
      <c r="A112" s="61"/>
      <c r="B112" s="62"/>
    </row>
    <row r="113" spans="1:2" ht="14.25">
      <c r="A113" s="61"/>
      <c r="B113" s="62"/>
    </row>
    <row r="114" spans="1:2" ht="14.25">
      <c r="A114" s="61"/>
      <c r="B114" s="62"/>
    </row>
    <row r="115" spans="1:2" ht="14.25">
      <c r="A115" s="61"/>
      <c r="B115" s="62"/>
    </row>
    <row r="116" spans="1:2" ht="14.25">
      <c r="A116" s="61"/>
      <c r="B116" s="62"/>
    </row>
    <row r="117" spans="1:2" ht="14.25">
      <c r="A117" s="61"/>
      <c r="B117" s="62"/>
    </row>
    <row r="118" spans="1:2" ht="14.25">
      <c r="A118" s="61"/>
      <c r="B118" s="62"/>
    </row>
    <row r="119" spans="1:2" ht="14.25">
      <c r="A119" s="61"/>
      <c r="B119" s="62"/>
    </row>
    <row r="120" spans="1:2" ht="14.25">
      <c r="A120" s="61"/>
      <c r="B120" s="62"/>
    </row>
    <row r="121" spans="1:2" ht="14.25">
      <c r="A121" s="61"/>
      <c r="B121" s="62"/>
    </row>
    <row r="122" spans="1:2" ht="14.25">
      <c r="A122" s="61"/>
      <c r="B122" s="62"/>
    </row>
    <row r="123" spans="1:2" ht="14.25">
      <c r="A123" s="61"/>
      <c r="B123" s="62"/>
    </row>
    <row r="124" spans="1:2" ht="14.25">
      <c r="A124" s="61"/>
      <c r="B124" s="62"/>
    </row>
    <row r="125" spans="1:2" ht="14.25">
      <c r="A125" s="61"/>
      <c r="B125" s="62"/>
    </row>
    <row r="126" spans="1:2" ht="14.25">
      <c r="A126" s="61"/>
      <c r="B126" s="62"/>
    </row>
    <row r="127" spans="1:2" ht="14.25">
      <c r="A127" s="61"/>
      <c r="B127" s="62"/>
    </row>
    <row r="128" spans="1:2" ht="14.25">
      <c r="A128" s="61"/>
      <c r="B128" s="62"/>
    </row>
    <row r="129" spans="1:2" ht="14.25">
      <c r="A129" s="61"/>
      <c r="B129" s="62"/>
    </row>
    <row r="130" spans="1:2" ht="14.25">
      <c r="A130" s="61"/>
      <c r="B130" s="62"/>
    </row>
    <row r="131" spans="1:2" ht="14.25">
      <c r="A131" s="61"/>
      <c r="B131" s="62"/>
    </row>
    <row r="132" spans="1:2" ht="14.25">
      <c r="A132" s="61"/>
      <c r="B132" s="62"/>
    </row>
    <row r="133" spans="1:2" ht="14.25">
      <c r="A133" s="61"/>
      <c r="B133" s="62"/>
    </row>
    <row r="134" spans="1:2" ht="14.25">
      <c r="A134" s="61"/>
      <c r="B134" s="62"/>
    </row>
    <row r="135" spans="1:2" ht="14.25">
      <c r="A135" s="61"/>
      <c r="B135" s="62"/>
    </row>
    <row r="136" spans="1:2" ht="14.25">
      <c r="A136" s="61"/>
      <c r="B136" s="62"/>
    </row>
    <row r="137" spans="1:2" ht="14.25">
      <c r="A137" s="61"/>
      <c r="B137" s="62"/>
    </row>
    <row r="138" spans="1:2" ht="14.25">
      <c r="A138" s="61"/>
      <c r="B138" s="62"/>
    </row>
    <row r="139" spans="1:2" ht="14.25">
      <c r="A139" s="61"/>
      <c r="B139" s="62"/>
    </row>
    <row r="140" spans="1:2" ht="14.25">
      <c r="A140" s="61"/>
      <c r="B140" s="62"/>
    </row>
    <row r="141" spans="1:2" ht="14.25">
      <c r="A141" s="61"/>
      <c r="B141" s="62"/>
    </row>
    <row r="142" spans="1:2" ht="14.25">
      <c r="A142" s="61"/>
      <c r="B142" s="62"/>
    </row>
    <row r="143" spans="1:2" ht="14.25">
      <c r="A143" s="61"/>
      <c r="B143" s="62"/>
    </row>
    <row r="144" spans="1:2" ht="14.25">
      <c r="A144" s="61"/>
      <c r="B144" s="62"/>
    </row>
    <row r="145" spans="1:2" ht="14.25">
      <c r="A145" s="61"/>
      <c r="B145" s="62"/>
    </row>
    <row r="146" spans="1:2" ht="14.25">
      <c r="A146" s="61"/>
      <c r="B146" s="62"/>
    </row>
    <row r="147" spans="1:2" ht="14.25">
      <c r="A147" s="61"/>
      <c r="B147" s="62"/>
    </row>
    <row r="148" spans="1:2" ht="14.25">
      <c r="A148" s="61"/>
      <c r="B148" s="62"/>
    </row>
    <row r="149" spans="1:2" ht="14.25">
      <c r="A149" s="61"/>
      <c r="B149" s="62"/>
    </row>
    <row r="150" spans="1:2" ht="14.25">
      <c r="A150" s="61"/>
      <c r="B150" s="62"/>
    </row>
    <row r="151" spans="1:2" ht="14.25">
      <c r="A151" s="61"/>
      <c r="B151" s="62"/>
    </row>
    <row r="152" spans="1:2" ht="14.25">
      <c r="A152" s="61"/>
      <c r="B152" s="62"/>
    </row>
    <row r="153" spans="1:2" ht="14.25">
      <c r="A153" s="61"/>
      <c r="B153" s="62"/>
    </row>
    <row r="154" spans="1:2" ht="14.25">
      <c r="A154" s="61"/>
      <c r="B154" s="62"/>
    </row>
    <row r="155" spans="1:2" ht="14.25">
      <c r="A155" s="61"/>
      <c r="B155" s="62"/>
    </row>
    <row r="156" spans="1:2" ht="14.25">
      <c r="A156" s="61"/>
      <c r="B156" s="62"/>
    </row>
    <row r="157" spans="1:2" ht="14.25">
      <c r="A157" s="61"/>
      <c r="B157" s="62"/>
    </row>
    <row r="158" spans="1:2" ht="14.25">
      <c r="A158" s="61"/>
      <c r="B158" s="62"/>
    </row>
    <row r="159" spans="1:2" ht="14.25">
      <c r="A159" s="61"/>
      <c r="B159" s="62"/>
    </row>
    <row r="160" spans="1:2" ht="14.25">
      <c r="A160" s="61"/>
      <c r="B160" s="62"/>
    </row>
    <row r="161" spans="1:2" ht="14.25">
      <c r="A161" s="61"/>
      <c r="B161" s="62"/>
    </row>
    <row r="162" spans="1:2" ht="14.25">
      <c r="A162" s="61"/>
      <c r="B162" s="62"/>
    </row>
    <row r="163" spans="1:2" ht="14.25">
      <c r="A163" s="61"/>
      <c r="B163" s="62"/>
    </row>
    <row r="164" spans="1:2" ht="14.25">
      <c r="A164" s="61"/>
      <c r="B164" s="62"/>
    </row>
    <row r="165" spans="1:2" ht="14.25">
      <c r="A165" s="61"/>
      <c r="B165" s="62"/>
    </row>
    <row r="166" spans="1:2" ht="14.25">
      <c r="A166" s="61"/>
      <c r="B166" s="62"/>
    </row>
    <row r="167" spans="1:2" ht="14.25">
      <c r="A167" s="61"/>
      <c r="B167" s="62"/>
    </row>
    <row r="168" spans="1:2" ht="14.25">
      <c r="A168" s="61"/>
      <c r="B168" s="62"/>
    </row>
    <row r="169" spans="1:2" ht="14.25">
      <c r="A169" s="61"/>
      <c r="B169" s="62"/>
    </row>
    <row r="170" spans="1:2" ht="14.25">
      <c r="A170" s="61"/>
      <c r="B170" s="62"/>
    </row>
    <row r="171" spans="1:2" ht="14.25">
      <c r="A171" s="61"/>
      <c r="B171" s="62"/>
    </row>
    <row r="172" spans="1:2" ht="14.25">
      <c r="A172" s="61"/>
      <c r="B172" s="62"/>
    </row>
    <row r="173" spans="1:2" ht="14.25">
      <c r="A173" s="61"/>
      <c r="B173" s="62"/>
    </row>
    <row r="174" spans="1:2" ht="14.25">
      <c r="A174" s="61"/>
      <c r="B174" s="62"/>
    </row>
    <row r="175" spans="1:2" ht="14.25">
      <c r="A175" s="61"/>
      <c r="B175" s="62"/>
    </row>
    <row r="176" spans="1:2" ht="14.25">
      <c r="A176" s="61"/>
      <c r="B176" s="62"/>
    </row>
    <row r="177" spans="1:2" ht="14.25">
      <c r="A177" s="61"/>
      <c r="B177" s="62"/>
    </row>
    <row r="178" spans="1:2" ht="14.25">
      <c r="A178" s="61"/>
      <c r="B178" s="62"/>
    </row>
    <row r="179" spans="1:2" ht="14.25">
      <c r="A179" s="61"/>
      <c r="B179" s="62"/>
    </row>
    <row r="180" spans="1:2" ht="14.25">
      <c r="A180" s="61"/>
      <c r="B180" s="62"/>
    </row>
    <row r="181" spans="1:2" ht="14.25">
      <c r="A181" s="61"/>
      <c r="B181" s="62"/>
    </row>
    <row r="182" spans="1:2" ht="14.25">
      <c r="A182" s="61"/>
      <c r="B182" s="62"/>
    </row>
    <row r="183" spans="1:2" ht="14.25">
      <c r="A183" s="61"/>
      <c r="B183" s="62"/>
    </row>
    <row r="184" spans="1:2" ht="14.25">
      <c r="A184" s="61"/>
      <c r="B184" s="62"/>
    </row>
    <row r="185" spans="1:2" ht="14.25">
      <c r="A185" s="61"/>
      <c r="B185" s="62"/>
    </row>
    <row r="186" spans="1:2" ht="14.25">
      <c r="A186" s="61"/>
      <c r="B186" s="62"/>
    </row>
    <row r="187" spans="1:2" ht="14.25">
      <c r="A187" s="61"/>
      <c r="B187" s="62"/>
    </row>
    <row r="188" spans="1:2" ht="14.25">
      <c r="A188" s="61"/>
      <c r="B188" s="62"/>
    </row>
    <row r="189" spans="1:2" ht="14.25">
      <c r="A189" s="61"/>
      <c r="B189" s="62"/>
    </row>
    <row r="190" spans="1:2" ht="14.25">
      <c r="A190" s="61"/>
      <c r="B190" s="62"/>
    </row>
    <row r="191" spans="1:2" ht="14.25">
      <c r="A191" s="61"/>
      <c r="B191" s="62"/>
    </row>
    <row r="192" spans="1:2" ht="14.25">
      <c r="A192" s="61"/>
      <c r="B192" s="62"/>
    </row>
    <row r="193" spans="1:2" ht="14.25">
      <c r="A193" s="61"/>
      <c r="B193" s="62"/>
    </row>
    <row r="194" spans="1:2" ht="14.25">
      <c r="A194" s="61"/>
      <c r="B194" s="62"/>
    </row>
    <row r="195" spans="1:2" ht="14.25">
      <c r="A195" s="61"/>
      <c r="B195" s="62"/>
    </row>
    <row r="196" spans="1:2" ht="14.25">
      <c r="A196" s="61"/>
      <c r="B196" s="62"/>
    </row>
    <row r="197" spans="1:2" ht="14.25">
      <c r="A197" s="61"/>
      <c r="B197" s="62"/>
    </row>
    <row r="198" spans="1:2" ht="14.25">
      <c r="A198" s="61"/>
      <c r="B198" s="62"/>
    </row>
    <row r="199" spans="1:2" ht="14.25">
      <c r="A199" s="61"/>
      <c r="B199" s="62"/>
    </row>
    <row r="200" spans="1:2" ht="14.25">
      <c r="A200" s="61"/>
      <c r="B200" s="62"/>
    </row>
    <row r="201" spans="1:2" ht="14.25">
      <c r="A201" s="61"/>
      <c r="B201" s="62"/>
    </row>
    <row r="202" spans="1:2" ht="14.25">
      <c r="A202" s="61"/>
      <c r="B202" s="62"/>
    </row>
    <row r="203" spans="1:2" ht="14.25">
      <c r="A203" s="61"/>
      <c r="B203" s="62"/>
    </row>
    <row r="204" spans="1:2" ht="14.25">
      <c r="A204" s="61"/>
      <c r="B204" s="62"/>
    </row>
    <row r="205" spans="1:2" ht="14.25">
      <c r="A205" s="61"/>
      <c r="B205" s="62"/>
    </row>
    <row r="206" spans="1:2" ht="14.25">
      <c r="A206" s="61"/>
      <c r="B206" s="62"/>
    </row>
    <row r="207" spans="1:2" ht="14.25">
      <c r="A207" s="61"/>
      <c r="B207" s="62"/>
    </row>
    <row r="208" spans="1:2" ht="14.25">
      <c r="A208" s="61"/>
      <c r="B208" s="62"/>
    </row>
    <row r="209" spans="1:2" ht="14.25">
      <c r="A209" s="61"/>
      <c r="B209" s="62"/>
    </row>
    <row r="210" spans="1:2" ht="14.25">
      <c r="A210" s="61"/>
      <c r="B210" s="62"/>
    </row>
    <row r="211" spans="1:2" ht="14.25">
      <c r="A211" s="61"/>
      <c r="B211" s="62"/>
    </row>
    <row r="212" spans="1:2" ht="14.25">
      <c r="A212" s="61"/>
      <c r="B212" s="62"/>
    </row>
    <row r="213" spans="1:2" ht="14.25">
      <c r="A213" s="61"/>
      <c r="B213" s="62"/>
    </row>
    <row r="214" spans="1:2" ht="14.25">
      <c r="A214" s="61"/>
      <c r="B214" s="62"/>
    </row>
    <row r="215" spans="1:2" ht="14.25">
      <c r="A215" s="61"/>
      <c r="B215" s="62"/>
    </row>
    <row r="216" spans="1:2" ht="14.25">
      <c r="A216" s="61"/>
      <c r="B216" s="62"/>
    </row>
    <row r="217" spans="1:2" ht="14.25">
      <c r="A217" s="61"/>
      <c r="B217" s="62"/>
    </row>
    <row r="218" spans="1:2" ht="14.25">
      <c r="A218" s="61"/>
      <c r="B218" s="62"/>
    </row>
    <row r="219" spans="1:2" ht="14.25">
      <c r="A219" s="61"/>
      <c r="B219" s="62"/>
    </row>
    <row r="220" spans="1:2" ht="14.25">
      <c r="A220" s="61"/>
      <c r="B220" s="62"/>
    </row>
    <row r="221" spans="1:2" ht="14.25">
      <c r="A221" s="61"/>
      <c r="B221" s="62"/>
    </row>
    <row r="222" spans="1:2" ht="14.25">
      <c r="A222" s="61"/>
      <c r="B222" s="62"/>
    </row>
    <row r="223" spans="1:2" ht="14.25">
      <c r="A223" s="61"/>
      <c r="B223" s="62"/>
    </row>
    <row r="224" spans="1:2" ht="14.25">
      <c r="A224" s="61"/>
      <c r="B224" s="62"/>
    </row>
    <row r="225" spans="1:2" ht="14.25">
      <c r="A225" s="61"/>
      <c r="B225" s="62"/>
    </row>
    <row r="226" spans="1:2" ht="14.25">
      <c r="A226" s="61"/>
      <c r="B226" s="62"/>
    </row>
    <row r="227" spans="1:2" ht="14.25">
      <c r="A227" s="61"/>
      <c r="B227" s="62"/>
    </row>
    <row r="228" spans="1:2" ht="14.25">
      <c r="A228" s="61"/>
      <c r="B228" s="62"/>
    </row>
    <row r="229" spans="1:2" ht="14.25">
      <c r="A229" s="61"/>
      <c r="B229" s="62"/>
    </row>
    <row r="230" spans="1:2" ht="14.25">
      <c r="A230" s="61"/>
      <c r="B230" s="62"/>
    </row>
    <row r="231" spans="1:2" ht="14.25">
      <c r="A231" s="61"/>
      <c r="B231" s="62"/>
    </row>
    <row r="232" spans="1:2" ht="14.25">
      <c r="A232" s="61"/>
      <c r="B232" s="62"/>
    </row>
    <row r="233" spans="1:2" ht="14.25">
      <c r="A233" s="61"/>
      <c r="B233" s="62"/>
    </row>
    <row r="234" spans="1:2" ht="14.25">
      <c r="A234" s="61"/>
      <c r="B234" s="62"/>
    </row>
    <row r="235" spans="1:2" ht="14.25">
      <c r="A235" s="61"/>
      <c r="B235" s="62"/>
    </row>
    <row r="236" spans="1:2" ht="14.25">
      <c r="A236" s="61"/>
      <c r="B236" s="62"/>
    </row>
    <row r="237" spans="1:2" ht="14.25">
      <c r="A237" s="61"/>
      <c r="B237" s="62"/>
    </row>
    <row r="238" spans="1:2" ht="14.25">
      <c r="A238" s="61"/>
      <c r="B238" s="62"/>
    </row>
    <row r="239" spans="1:2" ht="14.25">
      <c r="A239" s="61"/>
      <c r="B239" s="62"/>
    </row>
    <row r="240" spans="1:2" ht="14.25">
      <c r="A240" s="61"/>
      <c r="B240" s="62"/>
    </row>
    <row r="241" spans="1:2" ht="14.25">
      <c r="A241" s="61"/>
      <c r="B241" s="62"/>
    </row>
    <row r="242" spans="1:2" ht="14.25">
      <c r="A242" s="61"/>
      <c r="B242" s="62"/>
    </row>
    <row r="243" spans="1:2" ht="14.25">
      <c r="A243" s="61"/>
      <c r="B243" s="62"/>
    </row>
    <row r="244" spans="1:2" ht="14.25">
      <c r="A244" s="61"/>
      <c r="B244" s="62"/>
    </row>
    <row r="245" spans="1:2" ht="14.25">
      <c r="A245" s="61"/>
      <c r="B245" s="62"/>
    </row>
    <row r="246" spans="1:2" ht="14.25">
      <c r="A246" s="61"/>
      <c r="B246" s="62"/>
    </row>
    <row r="247" spans="1:2" ht="14.25">
      <c r="A247" s="61"/>
      <c r="B247" s="62"/>
    </row>
    <row r="248" spans="1:2" ht="14.25">
      <c r="A248" s="61"/>
      <c r="B248" s="62"/>
    </row>
    <row r="249" spans="1:2" ht="14.25">
      <c r="A249" s="61"/>
      <c r="B249" s="62"/>
    </row>
    <row r="250" spans="1:2" ht="14.25">
      <c r="A250" s="61"/>
      <c r="B250" s="62"/>
    </row>
    <row r="251" spans="1:2" ht="14.25">
      <c r="A251" s="61"/>
      <c r="B251" s="62"/>
    </row>
    <row r="252" spans="1:2" ht="14.25">
      <c r="A252" s="61"/>
      <c r="B252" s="62"/>
    </row>
    <row r="253" spans="1:2" ht="14.25">
      <c r="A253" s="61"/>
      <c r="B253" s="62"/>
    </row>
    <row r="254" spans="1:2" ht="14.25">
      <c r="A254" s="61"/>
      <c r="B254" s="62"/>
    </row>
    <row r="255" spans="1:2" ht="14.25">
      <c r="A255" s="61"/>
      <c r="B255" s="62"/>
    </row>
    <row r="256" spans="1:2" ht="14.25">
      <c r="A256" s="61"/>
      <c r="B256" s="62"/>
    </row>
    <row r="257" spans="1:2" ht="14.25">
      <c r="A257" s="61"/>
      <c r="B257" s="62"/>
    </row>
    <row r="258" spans="1:2" ht="14.25">
      <c r="A258" s="61"/>
      <c r="B258" s="62"/>
    </row>
    <row r="259" spans="1:2" ht="14.25">
      <c r="A259" s="61"/>
      <c r="B259" s="62"/>
    </row>
    <row r="260" spans="1:2" ht="14.25">
      <c r="A260" s="61"/>
      <c r="B260" s="62"/>
    </row>
    <row r="261" spans="1:2" ht="14.25">
      <c r="A261" s="61"/>
      <c r="B261" s="62"/>
    </row>
    <row r="262" spans="1:2" ht="14.25">
      <c r="A262" s="61"/>
      <c r="B262" s="62"/>
    </row>
    <row r="263" spans="1:2" ht="14.25">
      <c r="A263" s="61"/>
      <c r="B263" s="62"/>
    </row>
    <row r="264" spans="1:2" ht="14.25">
      <c r="A264" s="61"/>
      <c r="B264" s="62"/>
    </row>
    <row r="265" spans="1:2" ht="14.25">
      <c r="A265" s="61"/>
      <c r="B265" s="62"/>
    </row>
    <row r="266" spans="1:2" ht="14.25">
      <c r="A266" s="61"/>
      <c r="B266" s="62"/>
    </row>
    <row r="267" spans="1:2" ht="14.25">
      <c r="A267" s="61"/>
      <c r="B267" s="62"/>
    </row>
    <row r="268" spans="1:2" ht="14.25">
      <c r="A268" s="61"/>
      <c r="B268" s="62"/>
    </row>
    <row r="269" spans="1:2" ht="14.25">
      <c r="A269" s="61"/>
      <c r="B269" s="62"/>
    </row>
    <row r="270" spans="1:2" ht="14.25">
      <c r="A270" s="61"/>
      <c r="B270" s="62"/>
    </row>
    <row r="271" spans="1:2" ht="14.25">
      <c r="A271" s="61"/>
      <c r="B271" s="62"/>
    </row>
    <row r="272" spans="1:2" ht="14.25">
      <c r="A272" s="61"/>
      <c r="B272" s="62"/>
    </row>
    <row r="273" spans="1:2" ht="14.25">
      <c r="A273" s="61"/>
      <c r="B273" s="62"/>
    </row>
    <row r="274" spans="1:2" ht="14.25">
      <c r="A274" s="61"/>
      <c r="B274" s="62"/>
    </row>
    <row r="275" spans="1:2" ht="14.25">
      <c r="A275" s="61"/>
      <c r="B275" s="62"/>
    </row>
    <row r="276" spans="1:2" ht="14.25">
      <c r="A276" s="61"/>
      <c r="B276" s="62"/>
    </row>
    <row r="277" spans="1:2" ht="14.25">
      <c r="A277" s="61"/>
      <c r="B277" s="62"/>
    </row>
    <row r="278" spans="1:2" ht="14.25">
      <c r="A278" s="61"/>
      <c r="B278" s="62"/>
    </row>
    <row r="279" spans="1:2" ht="14.25">
      <c r="A279" s="61"/>
      <c r="B279" s="62"/>
    </row>
    <row r="280" spans="1:2" ht="14.25">
      <c r="A280" s="61"/>
      <c r="B280" s="62"/>
    </row>
    <row r="281" spans="1:2" ht="14.25">
      <c r="A281" s="61"/>
      <c r="B281" s="62"/>
    </row>
    <row r="282" spans="1:2" ht="14.25">
      <c r="A282" s="61"/>
      <c r="B282" s="62"/>
    </row>
    <row r="283" spans="1:2" ht="14.25">
      <c r="A283" s="61"/>
      <c r="B283" s="62"/>
    </row>
    <row r="284" spans="1:2" ht="14.25">
      <c r="A284" s="61"/>
      <c r="B284" s="62"/>
    </row>
    <row r="285" spans="1:2" ht="14.25">
      <c r="A285" s="61"/>
      <c r="B285" s="62"/>
    </row>
    <row r="286" spans="1:2" ht="14.25">
      <c r="A286" s="61"/>
      <c r="B286" s="62"/>
    </row>
    <row r="287" spans="1:2" ht="14.25">
      <c r="A287" s="61"/>
      <c r="B287" s="62"/>
    </row>
    <row r="288" spans="1:2" ht="14.25">
      <c r="A288" s="61"/>
      <c r="B288" s="62"/>
    </row>
    <row r="289" spans="1:2" ht="14.25">
      <c r="A289" s="61"/>
      <c r="B289" s="62"/>
    </row>
    <row r="290" spans="1:2" ht="14.25">
      <c r="A290" s="61"/>
      <c r="B290" s="62"/>
    </row>
    <row r="291" spans="1:2" ht="14.25">
      <c r="A291" s="61"/>
      <c r="B291" s="62"/>
    </row>
    <row r="292" spans="1:2" ht="14.25">
      <c r="A292" s="61"/>
      <c r="B292" s="62"/>
    </row>
    <row r="293" spans="1:2" ht="14.25">
      <c r="A293" s="61"/>
      <c r="B293" s="62"/>
    </row>
    <row r="294" spans="1:2" ht="14.25">
      <c r="A294" s="61"/>
      <c r="B294" s="62"/>
    </row>
    <row r="295" spans="1:2" ht="14.25">
      <c r="A295" s="61"/>
      <c r="B295" s="62"/>
    </row>
    <row r="296" spans="1:2" ht="14.25">
      <c r="A296" s="61"/>
      <c r="B296" s="62"/>
    </row>
    <row r="297" spans="1:2" ht="14.25">
      <c r="A297" s="61"/>
      <c r="B297" s="62"/>
    </row>
    <row r="298" spans="1:2" ht="14.25">
      <c r="A298" s="61"/>
      <c r="B298" s="62"/>
    </row>
    <row r="299" spans="1:2" ht="14.25">
      <c r="A299" s="61"/>
      <c r="B299" s="62"/>
    </row>
    <row r="300" spans="1:2" ht="14.25">
      <c r="A300" s="61"/>
      <c r="B300" s="62"/>
    </row>
    <row r="301" spans="1:2" ht="14.25">
      <c r="A301" s="61"/>
      <c r="B301" s="62"/>
    </row>
    <row r="302" spans="1:2" ht="14.25">
      <c r="A302" s="61"/>
      <c r="B302" s="62"/>
    </row>
    <row r="303" spans="1:2" ht="14.25">
      <c r="A303" s="61"/>
      <c r="B303" s="62"/>
    </row>
    <row r="304" spans="1:2" ht="14.25">
      <c r="A304" s="61"/>
      <c r="B304" s="62"/>
    </row>
    <row r="305" spans="1:2" ht="14.25">
      <c r="A305" s="61"/>
      <c r="B305" s="62"/>
    </row>
    <row r="306" spans="1:2" ht="14.25">
      <c r="A306" s="61"/>
      <c r="B306" s="62"/>
    </row>
    <row r="307" spans="1:2" ht="14.25">
      <c r="A307" s="61"/>
      <c r="B307" s="62"/>
    </row>
    <row r="308" spans="1:2" ht="14.25">
      <c r="A308" s="61"/>
      <c r="B308" s="62"/>
    </row>
    <row r="309" spans="1:2" ht="14.25">
      <c r="A309" s="61"/>
      <c r="B309" s="62"/>
    </row>
    <row r="310" spans="1:2" ht="14.25">
      <c r="A310" s="61"/>
      <c r="B310" s="62"/>
    </row>
    <row r="311" spans="1:2" ht="14.25">
      <c r="A311" s="61"/>
      <c r="B311" s="62"/>
    </row>
    <row r="312" spans="1:2" ht="14.25">
      <c r="A312" s="61"/>
      <c r="B312" s="62"/>
    </row>
    <row r="313" spans="1:2" ht="14.25">
      <c r="A313" s="61"/>
      <c r="B313" s="62"/>
    </row>
    <row r="314" spans="1:2" ht="14.25">
      <c r="A314" s="61"/>
      <c r="B314" s="62"/>
    </row>
    <row r="315" spans="1:2" ht="14.25">
      <c r="A315" s="61"/>
      <c r="B315" s="62"/>
    </row>
    <row r="316" spans="1:2" ht="14.25">
      <c r="A316" s="61"/>
      <c r="B316" s="62"/>
    </row>
    <row r="317" spans="1:2" ht="14.25">
      <c r="A317" s="61"/>
      <c r="B317" s="62"/>
    </row>
    <row r="318" spans="1:2" ht="14.25">
      <c r="A318" s="61"/>
      <c r="B318" s="62"/>
    </row>
    <row r="319" spans="1:2" ht="14.25">
      <c r="A319" s="61"/>
      <c r="B319" s="62"/>
    </row>
    <row r="320" spans="1:2" ht="14.25">
      <c r="A320" s="61"/>
      <c r="B320" s="62"/>
    </row>
    <row r="321" spans="1:2" ht="14.25">
      <c r="A321" s="61"/>
      <c r="B321" s="62"/>
    </row>
    <row r="322" spans="1:2" ht="14.25">
      <c r="A322" s="61"/>
      <c r="B322" s="62"/>
    </row>
    <row r="323" spans="1:2" ht="14.25">
      <c r="A323" s="61"/>
      <c r="B323" s="62"/>
    </row>
    <row r="324" spans="1:2" ht="14.25">
      <c r="A324" s="61"/>
      <c r="B324" s="62"/>
    </row>
    <row r="325" spans="1:2" ht="14.25">
      <c r="A325" s="61"/>
      <c r="B325" s="62"/>
    </row>
    <row r="326" spans="1:2" ht="14.25">
      <c r="A326" s="61"/>
      <c r="B326" s="62"/>
    </row>
    <row r="327" spans="1:2" ht="14.25">
      <c r="A327" s="61"/>
      <c r="B327" s="62"/>
    </row>
    <row r="328" spans="1:2" ht="14.25">
      <c r="A328" s="61"/>
      <c r="B328" s="62"/>
    </row>
    <row r="329" spans="1:2" ht="14.25">
      <c r="A329" s="61"/>
      <c r="B329" s="62"/>
    </row>
    <row r="330" spans="1:2" ht="14.25">
      <c r="A330" s="61"/>
      <c r="B330" s="62"/>
    </row>
    <row r="331" spans="1:2" ht="14.25">
      <c r="A331" s="61"/>
      <c r="B331" s="62"/>
    </row>
    <row r="332" spans="1:2" ht="14.25">
      <c r="A332" s="61"/>
      <c r="B332" s="62"/>
    </row>
    <row r="333" spans="1:2" ht="14.25">
      <c r="A333" s="61"/>
      <c r="B333" s="62"/>
    </row>
    <row r="334" spans="1:2" ht="14.25">
      <c r="A334" s="61"/>
      <c r="B334" s="62"/>
    </row>
    <row r="335" spans="1:2" ht="14.25">
      <c r="A335" s="61"/>
      <c r="B335" s="62"/>
    </row>
    <row r="336" spans="1:2" ht="14.25">
      <c r="A336" s="61"/>
      <c r="B336" s="62"/>
    </row>
    <row r="337" spans="1:2" ht="14.25">
      <c r="A337" s="61"/>
      <c r="B337" s="62"/>
    </row>
    <row r="338" spans="1:2" ht="14.25">
      <c r="A338" s="61"/>
      <c r="B338" s="62"/>
    </row>
    <row r="339" spans="1:2" ht="14.25">
      <c r="A339" s="61"/>
      <c r="B339" s="62"/>
    </row>
    <row r="340" spans="1:2" ht="14.25">
      <c r="A340" s="61"/>
      <c r="B340" s="62"/>
    </row>
    <row r="341" spans="1:2" ht="14.25">
      <c r="A341" s="61"/>
      <c r="B341" s="62"/>
    </row>
    <row r="342" spans="1:2" ht="14.25">
      <c r="A342" s="61"/>
      <c r="B342" s="62"/>
    </row>
    <row r="343" spans="1:2" ht="14.25">
      <c r="A343" s="61"/>
      <c r="B343" s="62"/>
    </row>
    <row r="344" spans="1:2" ht="14.25">
      <c r="A344" s="61"/>
      <c r="B344" s="62"/>
    </row>
    <row r="345" spans="1:2" ht="14.25">
      <c r="A345" s="61"/>
      <c r="B345" s="62"/>
    </row>
    <row r="346" spans="1:2" ht="14.25">
      <c r="A346" s="61"/>
      <c r="B346" s="62"/>
    </row>
    <row r="347" spans="1:2" ht="14.25">
      <c r="A347" s="61"/>
      <c r="B347" s="62"/>
    </row>
    <row r="348" spans="1:2" ht="14.25">
      <c r="A348" s="61"/>
      <c r="B348" s="62"/>
    </row>
    <row r="349" spans="1:2" ht="14.25">
      <c r="A349" s="61"/>
      <c r="B349" s="62"/>
    </row>
    <row r="350" spans="1:2" ht="14.25">
      <c r="A350" s="61"/>
      <c r="B350" s="62"/>
    </row>
    <row r="351" spans="1:2" ht="14.25">
      <c r="A351" s="61"/>
      <c r="B351" s="62"/>
    </row>
    <row r="352" spans="1:2" ht="14.25">
      <c r="A352" s="61"/>
      <c r="B352" s="62"/>
    </row>
    <row r="353" spans="1:2" ht="14.25">
      <c r="A353" s="61"/>
      <c r="B353" s="62"/>
    </row>
    <row r="354" spans="1:2" ht="14.25">
      <c r="A354" s="61"/>
      <c r="B354" s="62"/>
    </row>
    <row r="355" spans="1:2" ht="14.25">
      <c r="A355" s="61"/>
      <c r="B355" s="62"/>
    </row>
    <row r="356" spans="1:2" ht="14.25">
      <c r="A356" s="61"/>
      <c r="B356" s="62"/>
    </row>
    <row r="357" spans="1:2" ht="14.25">
      <c r="A357" s="61"/>
      <c r="B357" s="62"/>
    </row>
    <row r="358" spans="1:2" ht="14.25">
      <c r="A358" s="61"/>
      <c r="B358" s="62"/>
    </row>
    <row r="359" spans="1:2" ht="14.25">
      <c r="A359" s="61"/>
      <c r="B359" s="62"/>
    </row>
    <row r="360" spans="1:2" ht="14.25">
      <c r="A360" s="61"/>
      <c r="B360" s="62"/>
    </row>
    <row r="361" spans="1:2" ht="14.25">
      <c r="A361" s="61"/>
      <c r="B361" s="62"/>
    </row>
    <row r="362" spans="1:2" ht="14.25">
      <c r="A362" s="61"/>
      <c r="B362" s="62"/>
    </row>
    <row r="363" spans="1:2" ht="14.25">
      <c r="A363" s="61"/>
      <c r="B363" s="62"/>
    </row>
    <row r="364" spans="1:2" ht="14.25">
      <c r="A364" s="61"/>
      <c r="B364" s="62"/>
    </row>
    <row r="365" spans="1:2" ht="14.25">
      <c r="A365" s="61"/>
      <c r="B365" s="62"/>
    </row>
    <row r="366" spans="1:2" ht="14.25">
      <c r="A366" s="61"/>
      <c r="B366" s="62"/>
    </row>
    <row r="367" spans="1:2" ht="14.25">
      <c r="A367" s="61"/>
      <c r="B367" s="62"/>
    </row>
    <row r="368" spans="1:2" ht="14.25">
      <c r="A368" s="61"/>
      <c r="B368" s="62"/>
    </row>
    <row r="369" spans="1:2" ht="14.25">
      <c r="A369" s="61"/>
      <c r="B369" s="62"/>
    </row>
    <row r="370" spans="1:2" ht="14.25">
      <c r="A370" s="61"/>
      <c r="B370" s="62"/>
    </row>
    <row r="371" spans="1:2" ht="14.25">
      <c r="A371" s="61"/>
      <c r="B371" s="62"/>
    </row>
    <row r="372" spans="1:2" ht="14.25">
      <c r="A372" s="61"/>
      <c r="B372" s="62"/>
    </row>
    <row r="373" spans="1:2" ht="14.25">
      <c r="A373" s="61"/>
      <c r="B373" s="62"/>
    </row>
    <row r="374" spans="1:2" ht="14.25">
      <c r="A374" s="61"/>
      <c r="B374" s="62"/>
    </row>
    <row r="375" spans="1:2" ht="14.25">
      <c r="A375" s="61"/>
      <c r="B375" s="62"/>
    </row>
    <row r="376" spans="1:2" ht="14.25">
      <c r="A376" s="61"/>
      <c r="B376" s="62"/>
    </row>
    <row r="377" spans="1:2" ht="14.25">
      <c r="A377" s="61"/>
      <c r="B377" s="62"/>
    </row>
    <row r="378" spans="1:2" ht="14.25">
      <c r="A378" s="61"/>
      <c r="B378" s="62"/>
    </row>
    <row r="379" spans="1:2" ht="14.25">
      <c r="A379" s="61"/>
      <c r="B379" s="62"/>
    </row>
    <row r="380" spans="1:2" ht="14.25">
      <c r="A380" s="61"/>
      <c r="B380" s="62"/>
    </row>
    <row r="381" spans="1:2" ht="14.25">
      <c r="A381" s="61"/>
      <c r="B381" s="62"/>
    </row>
    <row r="382" spans="1:2" ht="14.25">
      <c r="A382" s="61"/>
      <c r="B382" s="62"/>
    </row>
    <row r="383" spans="1:2" ht="14.25">
      <c r="A383" s="61"/>
      <c r="B383" s="62"/>
    </row>
    <row r="384" spans="1:2" ht="14.25">
      <c r="A384" s="61"/>
      <c r="B384" s="62"/>
    </row>
    <row r="385" spans="1:2" ht="14.25">
      <c r="A385" s="61"/>
      <c r="B385" s="62"/>
    </row>
    <row r="386" spans="1:2" ht="14.25">
      <c r="A386" s="61"/>
      <c r="B386" s="62"/>
    </row>
    <row r="387" spans="1:2" ht="14.25">
      <c r="A387" s="61"/>
      <c r="B387" s="62"/>
    </row>
    <row r="388" spans="1:2" ht="14.25">
      <c r="A388" s="61"/>
      <c r="B388" s="62"/>
    </row>
    <row r="389" spans="1:2" ht="14.25">
      <c r="A389" s="61"/>
      <c r="B389" s="62"/>
    </row>
    <row r="390" spans="1:2" ht="14.25">
      <c r="A390" s="61"/>
      <c r="B390" s="62"/>
    </row>
    <row r="391" spans="1:2" ht="14.25">
      <c r="A391" s="61"/>
      <c r="B391" s="62"/>
    </row>
    <row r="392" spans="1:2" ht="14.25">
      <c r="A392" s="61"/>
      <c r="B392" s="62"/>
    </row>
    <row r="393" spans="1:2" ht="14.25">
      <c r="A393" s="61"/>
      <c r="B393" s="62"/>
    </row>
    <row r="394" spans="1:2" ht="14.25">
      <c r="A394" s="61"/>
      <c r="B394" s="62"/>
    </row>
    <row r="395" spans="1:2" ht="14.25">
      <c r="A395" s="61"/>
      <c r="B395" s="62"/>
    </row>
    <row r="396" spans="1:2" ht="14.25">
      <c r="A396" s="61"/>
      <c r="B396" s="62"/>
    </row>
    <row r="397" spans="1:2" ht="14.25">
      <c r="A397" s="61"/>
      <c r="B397" s="62"/>
    </row>
    <row r="398" spans="1:2" ht="14.25">
      <c r="A398" s="61"/>
      <c r="B398" s="62"/>
    </row>
    <row r="399" spans="1:2" ht="14.25">
      <c r="A399" s="61"/>
      <c r="B399" s="62"/>
    </row>
    <row r="400" spans="1:2" ht="14.25">
      <c r="A400" s="61"/>
      <c r="B400" s="62"/>
    </row>
    <row r="401" spans="1:2" ht="14.25">
      <c r="A401" s="61"/>
      <c r="B401" s="62"/>
    </row>
    <row r="402" spans="1:2" ht="14.25">
      <c r="A402" s="61"/>
      <c r="B402" s="62"/>
    </row>
    <row r="403" spans="1:2" ht="14.25">
      <c r="A403" s="61"/>
      <c r="B403" s="62"/>
    </row>
    <row r="404" spans="1:2" ht="14.25">
      <c r="A404" s="61"/>
      <c r="B404" s="62"/>
    </row>
    <row r="405" spans="1:2" ht="14.25">
      <c r="A405" s="61"/>
      <c r="B405" s="62"/>
    </row>
    <row r="406" spans="1:2" ht="14.25">
      <c r="A406" s="61"/>
      <c r="B406" s="62"/>
    </row>
    <row r="407" spans="1:2" ht="14.25">
      <c r="A407" s="61"/>
      <c r="B407" s="62"/>
    </row>
    <row r="408" spans="1:2" ht="14.25">
      <c r="A408" s="61"/>
      <c r="B408" s="62"/>
    </row>
    <row r="409" spans="1:2" ht="14.25">
      <c r="A409" s="61"/>
      <c r="B409" s="62"/>
    </row>
    <row r="410" spans="1:2" ht="14.25">
      <c r="A410" s="61"/>
      <c r="B410" s="62"/>
    </row>
    <row r="411" spans="1:2" ht="14.25">
      <c r="A411" s="61"/>
      <c r="B411" s="62"/>
    </row>
    <row r="412" spans="1:2" ht="14.25">
      <c r="A412" s="61"/>
      <c r="B412" s="62"/>
    </row>
    <row r="413" spans="1:2" ht="14.25">
      <c r="A413" s="61"/>
      <c r="B413" s="62"/>
    </row>
    <row r="414" spans="1:2" ht="14.25">
      <c r="A414" s="61"/>
      <c r="B414" s="62"/>
    </row>
    <row r="415" spans="1:2" ht="14.25">
      <c r="A415" s="61"/>
      <c r="B415" s="62"/>
    </row>
    <row r="416" spans="1:2" ht="14.25">
      <c r="A416" s="61"/>
      <c r="B416" s="62"/>
    </row>
    <row r="417" spans="1:2" ht="14.25">
      <c r="A417" s="61"/>
      <c r="B417" s="62"/>
    </row>
    <row r="418" spans="1:2" ht="14.25">
      <c r="A418" s="61"/>
      <c r="B418" s="62"/>
    </row>
    <row r="419" spans="1:2" ht="14.25">
      <c r="A419" s="61"/>
      <c r="B419" s="62"/>
    </row>
    <row r="420" spans="1:2" ht="14.25">
      <c r="A420" s="61"/>
      <c r="B420" s="62"/>
    </row>
    <row r="421" spans="1:2" ht="14.25">
      <c r="A421" s="61"/>
      <c r="B421" s="62"/>
    </row>
    <row r="422" spans="1:2" ht="14.25">
      <c r="A422" s="61"/>
      <c r="B422" s="62"/>
    </row>
    <row r="423" spans="1:2" ht="14.25">
      <c r="A423" s="61"/>
      <c r="B423" s="62"/>
    </row>
    <row r="424" spans="1:2" ht="14.25">
      <c r="A424" s="61"/>
      <c r="B424" s="62"/>
    </row>
    <row r="425" spans="1:2" ht="14.25">
      <c r="A425" s="61"/>
      <c r="B425" s="62"/>
    </row>
    <row r="426" spans="1:2" ht="14.25">
      <c r="A426" s="61"/>
      <c r="B426" s="62"/>
    </row>
    <row r="427" spans="1:2" ht="14.25">
      <c r="A427" s="61"/>
      <c r="B427" s="62"/>
    </row>
    <row r="428" spans="1:2" ht="14.25">
      <c r="A428" s="61"/>
      <c r="B428" s="62"/>
    </row>
    <row r="429" spans="1:2" ht="14.25">
      <c r="A429" s="61"/>
      <c r="B429" s="62"/>
    </row>
    <row r="430" spans="1:2" ht="14.25">
      <c r="A430" s="61"/>
      <c r="B430" s="62"/>
    </row>
    <row r="431" spans="1:2" ht="14.25">
      <c r="A431" s="61"/>
      <c r="B431" s="62"/>
    </row>
    <row r="432" spans="1:2" ht="14.25">
      <c r="A432" s="61"/>
      <c r="B432" s="62"/>
    </row>
    <row r="433" spans="1:2" ht="14.25">
      <c r="A433" s="61"/>
      <c r="B433" s="62"/>
    </row>
    <row r="434" spans="1:2" ht="14.25">
      <c r="A434" s="61"/>
      <c r="B434" s="62"/>
    </row>
    <row r="435" spans="1:2" ht="14.25">
      <c r="A435" s="61"/>
      <c r="B435" s="62"/>
    </row>
    <row r="436" spans="1:2" ht="14.25">
      <c r="A436" s="61"/>
      <c r="B436" s="62"/>
    </row>
    <row r="437" spans="1:2" ht="14.25">
      <c r="A437" s="61"/>
      <c r="B437" s="62"/>
    </row>
    <row r="438" spans="1:2" ht="14.25">
      <c r="A438" s="61"/>
      <c r="B438" s="62"/>
    </row>
    <row r="439" spans="1:2" ht="14.25">
      <c r="A439" s="61"/>
      <c r="B439" s="62"/>
    </row>
    <row r="440" spans="1:2" ht="14.25">
      <c r="A440" s="61"/>
      <c r="B440" s="62"/>
    </row>
    <row r="441" spans="1:2" ht="14.25">
      <c r="A441" s="61"/>
      <c r="B441" s="62"/>
    </row>
    <row r="442" spans="1:2" ht="14.25">
      <c r="A442" s="61"/>
      <c r="B442" s="62"/>
    </row>
    <row r="443" spans="1:2" ht="14.25">
      <c r="A443" s="61"/>
      <c r="B443" s="62"/>
    </row>
    <row r="444" spans="1:2" ht="14.25">
      <c r="A444" s="61"/>
      <c r="B444" s="62"/>
    </row>
    <row r="445" spans="1:2" ht="14.25">
      <c r="A445" s="61"/>
      <c r="B445" s="62"/>
    </row>
    <row r="446" spans="1:2" ht="14.25">
      <c r="A446" s="61"/>
      <c r="B446" s="62"/>
    </row>
    <row r="447" spans="1:2" ht="14.25">
      <c r="A447" s="61"/>
      <c r="B447" s="62"/>
    </row>
    <row r="448" spans="1:2" ht="14.25">
      <c r="A448" s="61"/>
      <c r="B448" s="62"/>
    </row>
    <row r="449" spans="1:2" ht="14.25">
      <c r="A449" s="61"/>
      <c r="B449" s="62"/>
    </row>
    <row r="450" spans="1:2" ht="14.25">
      <c r="A450" s="61"/>
      <c r="B450" s="62"/>
    </row>
    <row r="451" spans="1:2" ht="14.25">
      <c r="A451" s="61"/>
      <c r="B451" s="62"/>
    </row>
    <row r="452" spans="1:2" ht="14.25">
      <c r="A452" s="61"/>
      <c r="B452" s="62"/>
    </row>
    <row r="453" spans="1:2" ht="14.25">
      <c r="A453" s="61"/>
      <c r="B453" s="62"/>
    </row>
    <row r="454" spans="1:2" ht="14.25">
      <c r="A454" s="61"/>
      <c r="B454" s="62"/>
    </row>
    <row r="455" spans="1:2" ht="14.25">
      <c r="A455" s="61"/>
      <c r="B455" s="62"/>
    </row>
    <row r="456" spans="1:2" ht="14.25">
      <c r="A456" s="61"/>
      <c r="B456" s="62"/>
    </row>
    <row r="457" spans="1:2" ht="14.25">
      <c r="A457" s="61"/>
      <c r="B457" s="62"/>
    </row>
    <row r="458" spans="1:2" ht="14.25">
      <c r="A458" s="61"/>
      <c r="B458" s="62"/>
    </row>
    <row r="459" spans="1:2" ht="14.25">
      <c r="A459" s="61"/>
      <c r="B459" s="62"/>
    </row>
    <row r="460" spans="1:2" ht="14.25">
      <c r="A460" s="61"/>
      <c r="B460" s="62"/>
    </row>
    <row r="461" spans="1:2" ht="14.25">
      <c r="A461" s="61"/>
      <c r="B461" s="62"/>
    </row>
    <row r="462" spans="1:2" ht="14.25">
      <c r="A462" s="61"/>
      <c r="B462" s="62"/>
    </row>
    <row r="463" spans="1:2" ht="14.25">
      <c r="A463" s="61"/>
      <c r="B463" s="62"/>
    </row>
    <row r="464" spans="1:2" ht="14.25">
      <c r="A464" s="61"/>
      <c r="B464" s="62"/>
    </row>
    <row r="465" spans="1:2" ht="14.25">
      <c r="A465" s="61"/>
      <c r="B465" s="62"/>
    </row>
    <row r="466" spans="1:2" ht="14.25">
      <c r="A466" s="61"/>
      <c r="B466" s="62"/>
    </row>
    <row r="467" spans="1:2" ht="14.25">
      <c r="A467" s="61"/>
      <c r="B467" s="62"/>
    </row>
    <row r="468" spans="1:2" ht="14.25">
      <c r="A468" s="61"/>
      <c r="B468" s="62"/>
    </row>
    <row r="469" spans="1:2" ht="14.25">
      <c r="A469" s="61"/>
      <c r="B469" s="62"/>
    </row>
    <row r="470" spans="1:2" ht="14.25">
      <c r="A470" s="61"/>
      <c r="B470" s="62"/>
    </row>
    <row r="471" spans="1:2" ht="14.25">
      <c r="A471" s="61"/>
      <c r="B471" s="62"/>
    </row>
    <row r="472" spans="1:2" ht="14.25">
      <c r="A472" s="61"/>
      <c r="B472" s="62"/>
    </row>
    <row r="473" spans="1:2" ht="14.25">
      <c r="A473" s="61"/>
      <c r="B473" s="62"/>
    </row>
    <row r="474" spans="1:2" ht="14.25">
      <c r="A474" s="61"/>
      <c r="B474" s="62"/>
    </row>
    <row r="475" spans="1:2" ht="14.25">
      <c r="A475" s="61"/>
      <c r="B475" s="62"/>
    </row>
    <row r="476" spans="1:2" ht="14.25">
      <c r="A476" s="61"/>
      <c r="B476" s="62"/>
    </row>
    <row r="477" spans="1:2" ht="14.25">
      <c r="A477" s="61"/>
      <c r="B477" s="62"/>
    </row>
    <row r="478" spans="1:2" ht="14.25">
      <c r="A478" s="61"/>
      <c r="B478" s="62"/>
    </row>
    <row r="479" spans="1:2" ht="14.25">
      <c r="A479" s="61"/>
      <c r="B479" s="62"/>
    </row>
    <row r="480" spans="1:2" ht="14.25">
      <c r="A480" s="61"/>
      <c r="B480" s="62"/>
    </row>
    <row r="481" spans="1:2" ht="14.25">
      <c r="A481" s="61"/>
      <c r="B481" s="62"/>
    </row>
    <row r="482" spans="1:2" ht="14.25">
      <c r="A482" s="61"/>
      <c r="B482" s="62"/>
    </row>
    <row r="483" spans="1:2" ht="14.25">
      <c r="A483" s="61"/>
      <c r="B483" s="62"/>
    </row>
    <row r="484" spans="1:2" ht="14.25">
      <c r="A484" s="61"/>
      <c r="B484" s="62"/>
    </row>
    <row r="485" spans="1:2" ht="14.25">
      <c r="A485" s="61"/>
      <c r="B485" s="62"/>
    </row>
    <row r="486" spans="1:2" ht="14.25">
      <c r="A486" s="61"/>
      <c r="B486" s="62"/>
    </row>
    <row r="487" spans="1:2" ht="14.25">
      <c r="A487" s="61"/>
      <c r="B487" s="62"/>
    </row>
    <row r="488" spans="1:2" ht="14.25">
      <c r="A488" s="61"/>
      <c r="B488" s="62"/>
    </row>
    <row r="489" spans="1:2" ht="14.25">
      <c r="A489" s="61"/>
      <c r="B489" s="62"/>
    </row>
    <row r="490" spans="1:2" ht="14.25">
      <c r="A490" s="61"/>
      <c r="B490" s="62"/>
    </row>
    <row r="491" spans="1:2" ht="14.25">
      <c r="A491" s="61"/>
      <c r="B491" s="62"/>
    </row>
    <row r="492" spans="1:2" ht="14.25">
      <c r="A492" s="61"/>
      <c r="B492" s="62"/>
    </row>
    <row r="493" spans="1:2" ht="14.25">
      <c r="A493" s="61"/>
      <c r="B493" s="62"/>
    </row>
    <row r="494" spans="1:2" ht="14.25">
      <c r="A494" s="61"/>
      <c r="B494" s="62"/>
    </row>
    <row r="495" spans="1:2" ht="14.25">
      <c r="A495" s="61"/>
      <c r="B495" s="62"/>
    </row>
    <row r="496" spans="1:2" ht="14.25">
      <c r="A496" s="61"/>
      <c r="B496" s="62"/>
    </row>
    <row r="497" spans="1:2" ht="14.25">
      <c r="A497" s="61"/>
      <c r="B497" s="62"/>
    </row>
    <row r="498" spans="1:2" ht="14.25">
      <c r="A498" s="61"/>
      <c r="B498" s="62"/>
    </row>
    <row r="499" spans="1:2" ht="14.25">
      <c r="A499" s="61"/>
      <c r="B499" s="62"/>
    </row>
    <row r="500" spans="1:2" ht="14.25">
      <c r="A500" s="61"/>
      <c r="B500" s="62"/>
    </row>
    <row r="501" spans="1:2" ht="14.25">
      <c r="A501" s="61"/>
      <c r="B501" s="62"/>
    </row>
    <row r="502" spans="1:2" ht="14.25">
      <c r="A502" s="61"/>
      <c r="B502" s="62"/>
    </row>
    <row r="503" spans="1:2" ht="14.25">
      <c r="A503" s="61"/>
      <c r="B503" s="62"/>
    </row>
    <row r="504" spans="1:2" ht="14.25">
      <c r="A504" s="61"/>
      <c r="B504" s="62"/>
    </row>
    <row r="505" spans="1:2" ht="14.25">
      <c r="A505" s="61"/>
      <c r="B505" s="62"/>
    </row>
    <row r="506" spans="1:2" ht="14.25">
      <c r="A506" s="61"/>
      <c r="B506" s="62"/>
    </row>
    <row r="507" spans="1:2" ht="14.25">
      <c r="A507" s="61"/>
      <c r="B507" s="62"/>
    </row>
    <row r="508" spans="1:2" ht="14.25">
      <c r="A508" s="61"/>
      <c r="B508" s="62"/>
    </row>
    <row r="509" spans="1:2" ht="14.25">
      <c r="A509" s="61"/>
      <c r="B509" s="62"/>
    </row>
    <row r="510" spans="1:2" ht="14.25">
      <c r="A510" s="61"/>
      <c r="B510" s="62"/>
    </row>
    <row r="511" spans="1:2" ht="14.25">
      <c r="A511" s="61"/>
      <c r="B511" s="62"/>
    </row>
    <row r="512" spans="1:2" ht="14.25">
      <c r="A512" s="61"/>
      <c r="B512" s="62"/>
    </row>
    <row r="513" spans="1:2" ht="14.25">
      <c r="A513" s="61"/>
      <c r="B513" s="62"/>
    </row>
    <row r="514" spans="1:2" ht="14.25">
      <c r="A514" s="61"/>
      <c r="B514" s="62"/>
    </row>
    <row r="515" spans="1:2" ht="14.25">
      <c r="A515" s="61"/>
      <c r="B515" s="62"/>
    </row>
    <row r="516" spans="1:2" ht="14.25">
      <c r="A516" s="61"/>
      <c r="B516" s="62"/>
    </row>
    <row r="517" spans="1:2" ht="14.25">
      <c r="A517" s="61"/>
      <c r="B517" s="62"/>
    </row>
    <row r="518" spans="1:2" ht="14.25">
      <c r="A518" s="61"/>
      <c r="B518" s="62"/>
    </row>
    <row r="519" spans="1:2" ht="14.25">
      <c r="A519" s="61"/>
      <c r="B519" s="62"/>
    </row>
    <row r="520" spans="1:2" ht="14.25">
      <c r="A520" s="61"/>
      <c r="B520" s="62"/>
    </row>
    <row r="521" spans="1:2" ht="14.25">
      <c r="A521" s="61"/>
      <c r="B521" s="62"/>
    </row>
    <row r="522" spans="1:2" ht="14.25">
      <c r="A522" s="61"/>
      <c r="B522" s="62"/>
    </row>
    <row r="523" spans="1:2" ht="14.25">
      <c r="A523" s="61"/>
      <c r="B523" s="62"/>
    </row>
    <row r="524" spans="1:2" ht="14.25">
      <c r="A524" s="61"/>
      <c r="B524" s="62"/>
    </row>
    <row r="525" spans="1:2" ht="14.25">
      <c r="A525" s="61"/>
      <c r="B525" s="62"/>
    </row>
    <row r="526" spans="1:2" ht="14.25">
      <c r="A526" s="61"/>
      <c r="B526" s="62"/>
    </row>
    <row r="527" spans="1:2" ht="14.25">
      <c r="A527" s="61"/>
      <c r="B527" s="62"/>
    </row>
    <row r="528" spans="1:2" ht="14.25">
      <c r="A528" s="61"/>
      <c r="B528" s="62"/>
    </row>
    <row r="529" spans="1:2" ht="14.25">
      <c r="A529" s="61"/>
      <c r="B529" s="62"/>
    </row>
    <row r="530" spans="1:2" ht="14.25">
      <c r="A530" s="61"/>
      <c r="B530" s="62"/>
    </row>
    <row r="531" spans="1:2" ht="14.25">
      <c r="A531" s="61"/>
      <c r="B531" s="62"/>
    </row>
    <row r="532" spans="1:2" ht="14.25">
      <c r="A532" s="61"/>
      <c r="B532" s="62"/>
    </row>
    <row r="533" spans="1:2" ht="14.25">
      <c r="A533" s="61"/>
      <c r="B533" s="62"/>
    </row>
    <row r="534" spans="1:2" ht="14.25">
      <c r="A534" s="61"/>
      <c r="B534" s="62"/>
    </row>
    <row r="535" spans="1:2" ht="14.25">
      <c r="A535" s="61"/>
      <c r="B535" s="62"/>
    </row>
    <row r="536" spans="1:2" ht="14.25">
      <c r="A536" s="61"/>
      <c r="B536" s="62"/>
    </row>
    <row r="537" spans="1:2" ht="14.25">
      <c r="A537" s="61"/>
      <c r="B537" s="62"/>
    </row>
    <row r="538" spans="1:2" ht="14.25">
      <c r="A538" s="61"/>
      <c r="B538" s="62"/>
    </row>
    <row r="539" spans="1:2" ht="14.25">
      <c r="A539" s="61"/>
      <c r="B539" s="62"/>
    </row>
    <row r="540" spans="1:2" ht="14.25">
      <c r="A540" s="61"/>
      <c r="B540" s="62"/>
    </row>
    <row r="541" spans="1:2" ht="14.25">
      <c r="A541" s="61"/>
      <c r="B541" s="62"/>
    </row>
    <row r="542" spans="1:2" ht="14.25">
      <c r="A542" s="61"/>
      <c r="B542" s="62"/>
    </row>
    <row r="543" spans="1:2" ht="14.25">
      <c r="A543" s="61"/>
      <c r="B543" s="62"/>
    </row>
    <row r="544" spans="1:2" ht="14.25">
      <c r="A544" s="61"/>
      <c r="B544" s="62"/>
    </row>
    <row r="545" spans="1:2" ht="14.25">
      <c r="A545" s="61"/>
      <c r="B545" s="62"/>
    </row>
    <row r="546" spans="1:2" ht="14.25">
      <c r="A546" s="61"/>
      <c r="B546" s="62"/>
    </row>
    <row r="547" spans="1:2" ht="14.25">
      <c r="A547" s="61"/>
      <c r="B547" s="62"/>
    </row>
    <row r="548" spans="1:2" ht="14.25">
      <c r="A548" s="61"/>
      <c r="B548" s="62"/>
    </row>
    <row r="549" spans="1:2" ht="14.25">
      <c r="A549" s="61"/>
      <c r="B549" s="62"/>
    </row>
    <row r="550" spans="1:2" ht="14.25">
      <c r="A550" s="61"/>
      <c r="B550" s="62"/>
    </row>
    <row r="551" spans="1:2" ht="14.25">
      <c r="A551" s="61"/>
      <c r="B551" s="62"/>
    </row>
    <row r="552" spans="1:2" ht="14.25">
      <c r="A552" s="61"/>
      <c r="B552" s="62"/>
    </row>
    <row r="553" spans="1:2" ht="14.25">
      <c r="A553" s="61"/>
      <c r="B553" s="62"/>
    </row>
    <row r="554" spans="1:2" ht="14.25">
      <c r="A554" s="61"/>
      <c r="B554" s="62"/>
    </row>
    <row r="555" spans="1:2" ht="14.25">
      <c r="A555" s="61"/>
      <c r="B555" s="62"/>
    </row>
    <row r="556" spans="1:2" ht="14.25">
      <c r="A556" s="61"/>
      <c r="B556" s="62"/>
    </row>
    <row r="557" spans="1:2" ht="14.25">
      <c r="A557" s="61"/>
      <c r="B557" s="62"/>
    </row>
    <row r="558" spans="1:2" ht="14.25">
      <c r="A558" s="61"/>
      <c r="B558" s="62"/>
    </row>
    <row r="559" spans="1:2" ht="14.25">
      <c r="A559" s="61"/>
      <c r="B559" s="62"/>
    </row>
    <row r="560" spans="1:2" ht="14.25">
      <c r="A560" s="61"/>
      <c r="B560" s="62"/>
    </row>
    <row r="561" spans="1:2" ht="14.25">
      <c r="A561" s="61"/>
      <c r="B561" s="62"/>
    </row>
    <row r="562" spans="1:2" ht="14.25">
      <c r="A562" s="61"/>
      <c r="B562" s="62"/>
    </row>
    <row r="563" spans="1:2" ht="14.25">
      <c r="A563" s="61"/>
      <c r="B563" s="62"/>
    </row>
    <row r="564" spans="1:2" ht="14.25">
      <c r="A564" s="61"/>
      <c r="B564" s="62"/>
    </row>
    <row r="565" spans="1:2" ht="14.25">
      <c r="A565" s="61"/>
      <c r="B565" s="62"/>
    </row>
    <row r="566" spans="1:2" ht="14.25">
      <c r="A566" s="61"/>
      <c r="B566" s="62"/>
    </row>
    <row r="567" spans="1:2" ht="14.25">
      <c r="A567" s="61"/>
      <c r="B567" s="62"/>
    </row>
    <row r="568" spans="1:2" ht="14.25">
      <c r="A568" s="61"/>
      <c r="B568" s="62"/>
    </row>
    <row r="569" spans="1:2" ht="14.25">
      <c r="A569" s="61"/>
      <c r="B569" s="62"/>
    </row>
    <row r="570" spans="1:2" ht="14.25">
      <c r="A570" s="61"/>
      <c r="B570" s="62"/>
    </row>
    <row r="571" spans="1:2" ht="14.25">
      <c r="A571" s="61"/>
      <c r="B571" s="62"/>
    </row>
    <row r="572" spans="1:2" ht="14.25">
      <c r="A572" s="61"/>
      <c r="B572" s="62"/>
    </row>
    <row r="573" spans="1:2" ht="14.25">
      <c r="A573" s="61"/>
      <c r="B573" s="62"/>
    </row>
    <row r="574" spans="1:2" ht="14.25">
      <c r="A574" s="61"/>
      <c r="B574" s="62"/>
    </row>
    <row r="575" spans="1:2" ht="14.25">
      <c r="A575" s="61"/>
      <c r="B575" s="62"/>
    </row>
    <row r="576" spans="1:2" ht="14.25">
      <c r="A576" s="61"/>
      <c r="B576" s="62"/>
    </row>
    <row r="577" spans="1:2" ht="14.25">
      <c r="A577" s="61"/>
      <c r="B577" s="62"/>
    </row>
    <row r="578" spans="1:2" ht="14.25">
      <c r="A578" s="61"/>
      <c r="B578" s="62"/>
    </row>
    <row r="579" spans="1:2" ht="14.25">
      <c r="A579" s="61"/>
      <c r="B579" s="62"/>
    </row>
    <row r="580" spans="1:2" ht="14.25">
      <c r="A580" s="61"/>
      <c r="B580" s="62"/>
    </row>
    <row r="581" spans="1:2" ht="14.25">
      <c r="A581" s="61"/>
      <c r="B581" s="62"/>
    </row>
    <row r="582" spans="1:2" ht="14.25">
      <c r="A582" s="61"/>
      <c r="B582" s="62"/>
    </row>
    <row r="583" spans="1:2" ht="14.25">
      <c r="A583" s="61"/>
      <c r="B583" s="62"/>
    </row>
    <row r="584" spans="1:2" ht="14.25">
      <c r="A584" s="61"/>
      <c r="B584" s="62"/>
    </row>
    <row r="585" spans="1:2" ht="14.25">
      <c r="A585" s="61"/>
      <c r="B585" s="62"/>
    </row>
    <row r="586" spans="1:2" ht="14.25">
      <c r="A586" s="61"/>
      <c r="B586" s="62"/>
    </row>
    <row r="587" spans="1:2" ht="14.25">
      <c r="A587" s="61"/>
      <c r="B587" s="62"/>
    </row>
    <row r="588" spans="1:2" ht="14.25">
      <c r="A588" s="61"/>
      <c r="B588" s="62"/>
    </row>
    <row r="589" spans="1:2" ht="14.25">
      <c r="A589" s="61"/>
      <c r="B589" s="62"/>
    </row>
    <row r="590" spans="1:2" ht="14.25">
      <c r="A590" s="61"/>
      <c r="B590" s="62"/>
    </row>
    <row r="591" spans="1:2" ht="14.25">
      <c r="A591" s="61"/>
      <c r="B591" s="62"/>
    </row>
    <row r="592" spans="1:2" ht="14.25">
      <c r="A592" s="61"/>
      <c r="B592" s="62"/>
    </row>
    <row r="593" spans="1:2" ht="14.25">
      <c r="A593" s="61"/>
      <c r="B593" s="62"/>
    </row>
    <row r="594" spans="1:2" ht="14.25">
      <c r="A594" s="61"/>
      <c r="B594" s="62"/>
    </row>
    <row r="595" spans="1:2" ht="14.25">
      <c r="A595" s="61"/>
      <c r="B595" s="62"/>
    </row>
    <row r="596" spans="1:2" ht="14.25">
      <c r="A596" s="61"/>
      <c r="B596" s="62"/>
    </row>
    <row r="597" spans="1:2" ht="14.25">
      <c r="A597" s="61"/>
      <c r="B597" s="62"/>
    </row>
    <row r="598" spans="1:2" ht="14.25">
      <c r="A598" s="61"/>
      <c r="B598" s="62"/>
    </row>
    <row r="599" spans="1:2" ht="14.25">
      <c r="A599" s="61"/>
      <c r="B599" s="62"/>
    </row>
    <row r="600" spans="1:2" ht="14.25">
      <c r="A600" s="61"/>
      <c r="B600" s="62"/>
    </row>
    <row r="601" spans="1:2" ht="14.25">
      <c r="A601" s="61"/>
      <c r="B601" s="62"/>
    </row>
    <row r="602" spans="1:2" ht="14.25">
      <c r="A602" s="61"/>
      <c r="B602" s="62"/>
    </row>
    <row r="603" spans="1:2" ht="14.25">
      <c r="A603" s="61"/>
      <c r="B603" s="62"/>
    </row>
    <row r="604" spans="1:2" ht="14.25">
      <c r="A604" s="61"/>
      <c r="B604" s="62"/>
    </row>
    <row r="605" spans="1:2" ht="14.25">
      <c r="A605" s="61"/>
      <c r="B605" s="62"/>
    </row>
    <row r="606" spans="1:2" ht="14.25">
      <c r="A606" s="61"/>
      <c r="B606" s="62"/>
    </row>
    <row r="607" spans="1:2" ht="14.25">
      <c r="A607" s="61"/>
      <c r="B607" s="62"/>
    </row>
    <row r="608" spans="1:2" ht="14.25">
      <c r="A608" s="61"/>
      <c r="B608" s="62"/>
    </row>
    <row r="609" spans="1:2" ht="14.25">
      <c r="A609" s="61"/>
      <c r="B609" s="62"/>
    </row>
    <row r="610" spans="1:2" ht="14.25">
      <c r="A610" s="61"/>
      <c r="B610" s="62"/>
    </row>
    <row r="611" spans="1:2" ht="14.25">
      <c r="A611" s="61"/>
      <c r="B611" s="62"/>
    </row>
    <row r="612" spans="1:2" ht="14.25">
      <c r="A612" s="61"/>
      <c r="B612" s="62"/>
    </row>
    <row r="613" spans="1:2" ht="14.25">
      <c r="A613" s="61"/>
      <c r="B613" s="62"/>
    </row>
    <row r="614" spans="1:2" ht="14.25">
      <c r="A614" s="61"/>
      <c r="B614" s="62"/>
    </row>
    <row r="615" spans="1:2" ht="14.25">
      <c r="A615" s="61"/>
      <c r="B615" s="62"/>
    </row>
    <row r="616" spans="1:2" ht="14.25">
      <c r="A616" s="61"/>
      <c r="B616" s="62"/>
    </row>
    <row r="617" spans="1:2" ht="14.25">
      <c r="A617" s="61"/>
      <c r="B617" s="62"/>
    </row>
    <row r="618" spans="1:2" ht="14.25">
      <c r="A618" s="61"/>
      <c r="B618" s="62"/>
    </row>
    <row r="619" spans="1:2" ht="14.25">
      <c r="A619" s="61"/>
      <c r="B619" s="62"/>
    </row>
    <row r="620" spans="1:2" ht="14.25">
      <c r="A620" s="61"/>
      <c r="B620" s="62"/>
    </row>
    <row r="621" spans="1:2" ht="14.25">
      <c r="A621" s="61"/>
      <c r="B621" s="62"/>
    </row>
    <row r="622" spans="1:2" ht="14.25">
      <c r="A622" s="61"/>
      <c r="B622" s="62"/>
    </row>
    <row r="623" spans="1:2" ht="14.25">
      <c r="A623" s="61"/>
      <c r="B623" s="62"/>
    </row>
    <row r="624" spans="1:2" ht="14.25">
      <c r="A624" s="61"/>
      <c r="B624" s="62"/>
    </row>
    <row r="625" spans="1:2" ht="14.25">
      <c r="A625" s="61"/>
      <c r="B625" s="62"/>
    </row>
    <row r="626" spans="1:2" ht="14.25">
      <c r="A626" s="61"/>
      <c r="B626" s="62"/>
    </row>
    <row r="627" spans="1:2" ht="14.25">
      <c r="A627" s="61"/>
      <c r="B627" s="62"/>
    </row>
    <row r="628" spans="1:2" ht="14.25">
      <c r="A628" s="61"/>
      <c r="B628" s="62"/>
    </row>
    <row r="629" spans="1:2" ht="14.25">
      <c r="A629" s="61"/>
      <c r="B629" s="62"/>
    </row>
    <row r="630" spans="1:2" ht="14.25">
      <c r="A630" s="61"/>
      <c r="B630" s="62"/>
    </row>
    <row r="631" spans="1:2" ht="14.25">
      <c r="A631" s="61"/>
      <c r="B631" s="62"/>
    </row>
    <row r="632" spans="1:2" ht="14.25">
      <c r="A632" s="61"/>
      <c r="B632" s="62"/>
    </row>
    <row r="633" spans="1:2" ht="14.25">
      <c r="A633" s="61"/>
      <c r="B633" s="62"/>
    </row>
    <row r="634" spans="1:2" ht="14.25">
      <c r="A634" s="61"/>
      <c r="B634" s="62"/>
    </row>
    <row r="635" spans="1:2" ht="14.25">
      <c r="A635" s="61"/>
      <c r="B635" s="62"/>
    </row>
    <row r="636" spans="1:2" ht="14.25">
      <c r="A636" s="61"/>
      <c r="B636" s="62"/>
    </row>
    <row r="637" spans="1:2" ht="14.25">
      <c r="A637" s="61"/>
      <c r="B637" s="62"/>
    </row>
    <row r="638" spans="1:2" ht="14.25">
      <c r="A638" s="61"/>
      <c r="B638" s="62"/>
    </row>
    <row r="639" spans="1:2" ht="14.25">
      <c r="A639" s="61"/>
      <c r="B639" s="62"/>
    </row>
    <row r="640" spans="1:2" ht="14.25">
      <c r="A640" s="61"/>
      <c r="B640" s="62"/>
    </row>
    <row r="641" spans="1:2" ht="14.25">
      <c r="A641" s="61"/>
      <c r="B641" s="62"/>
    </row>
    <row r="642" spans="1:2" ht="14.25">
      <c r="A642" s="61"/>
      <c r="B642" s="62"/>
    </row>
    <row r="643" spans="1:2" ht="14.25">
      <c r="A643" s="61"/>
      <c r="B643" s="62"/>
    </row>
    <row r="644" spans="1:2" ht="14.25">
      <c r="A644" s="61"/>
      <c r="B644" s="62"/>
    </row>
    <row r="645" spans="1:2" ht="14.25">
      <c r="A645" s="61"/>
      <c r="B645" s="62"/>
    </row>
    <row r="646" spans="1:2" ht="14.25">
      <c r="A646" s="61"/>
      <c r="B646" s="62"/>
    </row>
    <row r="647" spans="1:2" ht="14.25">
      <c r="A647" s="61"/>
      <c r="B647" s="62"/>
    </row>
    <row r="648" spans="1:2" ht="14.25">
      <c r="A648" s="61"/>
      <c r="B648" s="62"/>
    </row>
    <row r="649" spans="1:2" ht="14.25">
      <c r="A649" s="61"/>
      <c r="B649" s="62"/>
    </row>
    <row r="650" spans="1:2" ht="14.25">
      <c r="A650" s="61"/>
      <c r="B650" s="62"/>
    </row>
    <row r="651" spans="1:2" ht="14.25">
      <c r="A651" s="61"/>
      <c r="B651" s="62"/>
    </row>
    <row r="652" spans="1:2" ht="14.25">
      <c r="A652" s="61"/>
      <c r="B652" s="62"/>
    </row>
    <row r="653" spans="1:2" ht="14.25">
      <c r="A653" s="61"/>
      <c r="B653" s="62"/>
    </row>
    <row r="654" spans="1:2" ht="14.25">
      <c r="A654" s="61"/>
      <c r="B654" s="62"/>
    </row>
    <row r="655" spans="1:2" ht="14.25">
      <c r="A655" s="61"/>
      <c r="B655" s="62"/>
    </row>
    <row r="656" spans="1:2" ht="14.25">
      <c r="A656" s="61"/>
      <c r="B656" s="62"/>
    </row>
    <row r="657" spans="1:2" ht="14.25">
      <c r="A657" s="61"/>
      <c r="B657" s="62"/>
    </row>
    <row r="658" spans="1:2" ht="14.25">
      <c r="A658" s="61"/>
      <c r="B658" s="62"/>
    </row>
    <row r="659" spans="1:2" ht="14.25">
      <c r="A659" s="61"/>
      <c r="B659" s="62"/>
    </row>
    <row r="660" spans="1:2" ht="14.25">
      <c r="A660" s="61"/>
      <c r="B660" s="62"/>
    </row>
    <row r="661" spans="1:2" ht="14.25">
      <c r="A661" s="61"/>
      <c r="B661" s="62"/>
    </row>
    <row r="662" spans="1:2" ht="14.25">
      <c r="A662" s="61"/>
      <c r="B662" s="62"/>
    </row>
    <row r="663" spans="1:2" ht="14.25">
      <c r="A663" s="61"/>
      <c r="B663" s="62"/>
    </row>
    <row r="664" spans="1:2" ht="14.25">
      <c r="A664" s="61"/>
      <c r="B664" s="62"/>
    </row>
    <row r="665" spans="1:2" ht="14.25">
      <c r="A665" s="61"/>
      <c r="B665" s="62"/>
    </row>
    <row r="666" spans="1:2" ht="14.25">
      <c r="A666" s="61"/>
      <c r="B666" s="62"/>
    </row>
    <row r="667" spans="1:2" ht="14.25">
      <c r="A667" s="61"/>
      <c r="B667" s="62"/>
    </row>
    <row r="668" spans="1:2" ht="14.25">
      <c r="A668" s="61"/>
      <c r="B668" s="62"/>
    </row>
    <row r="669" spans="1:2" ht="14.25">
      <c r="A669" s="61"/>
      <c r="B669" s="62"/>
    </row>
    <row r="670" spans="1:2" ht="14.25">
      <c r="A670" s="61"/>
      <c r="B670" s="62"/>
    </row>
    <row r="671" spans="1:2" ht="14.25">
      <c r="A671" s="61"/>
      <c r="B671" s="62"/>
    </row>
    <row r="672" spans="1:2" ht="14.25">
      <c r="A672" s="61"/>
      <c r="B672" s="62"/>
    </row>
    <row r="673" spans="1:2" ht="14.25">
      <c r="A673" s="61"/>
      <c r="B673" s="62"/>
    </row>
    <row r="674" spans="1:2" ht="14.25">
      <c r="A674" s="61"/>
      <c r="B674" s="62"/>
    </row>
    <row r="675" spans="1:2" ht="14.25">
      <c r="A675" s="61"/>
      <c r="B675" s="62"/>
    </row>
    <row r="676" spans="1:2" ht="14.25">
      <c r="A676" s="61"/>
      <c r="B676" s="62"/>
    </row>
    <row r="677" spans="1:2" ht="14.25">
      <c r="A677" s="61"/>
      <c r="B677" s="62"/>
    </row>
    <row r="678" spans="1:2" ht="14.25">
      <c r="A678" s="61"/>
      <c r="B678" s="62"/>
    </row>
    <row r="679" spans="1:2" ht="14.25">
      <c r="A679" s="61"/>
      <c r="B679" s="62"/>
    </row>
    <row r="680" spans="1:2" ht="14.25">
      <c r="A680" s="61"/>
      <c r="B680" s="62"/>
    </row>
    <row r="681" spans="1:2" ht="14.25">
      <c r="A681" s="61"/>
      <c r="B681" s="62"/>
    </row>
    <row r="682" spans="1:2" ht="14.25">
      <c r="A682" s="61"/>
      <c r="B682" s="62"/>
    </row>
    <row r="683" spans="1:2" ht="14.25">
      <c r="A683" s="61"/>
      <c r="B683" s="62"/>
    </row>
    <row r="684" spans="1:2" ht="14.25">
      <c r="A684" s="61"/>
      <c r="B684" s="62"/>
    </row>
    <row r="685" spans="1:2" ht="14.25">
      <c r="A685" s="61"/>
      <c r="B685" s="62"/>
    </row>
    <row r="686" spans="1:2" ht="14.25">
      <c r="A686" s="61"/>
      <c r="B686" s="62"/>
    </row>
    <row r="687" spans="1:2" ht="14.25">
      <c r="A687" s="61"/>
      <c r="B687" s="62"/>
    </row>
    <row r="688" spans="1:2" ht="14.25">
      <c r="A688" s="61"/>
      <c r="B688" s="62"/>
    </row>
    <row r="689" spans="1:2" ht="14.25">
      <c r="A689" s="61"/>
      <c r="B689" s="62"/>
    </row>
    <row r="690" spans="1:2" ht="14.25">
      <c r="A690" s="61"/>
      <c r="B690" s="62"/>
    </row>
    <row r="691" spans="1:2" ht="14.25">
      <c r="A691" s="61"/>
      <c r="B691" s="62"/>
    </row>
    <row r="692" spans="1:2" ht="14.25">
      <c r="A692" s="61"/>
      <c r="B692" s="62"/>
    </row>
    <row r="693" spans="1:2" ht="14.25">
      <c r="A693" s="61"/>
      <c r="B693" s="62"/>
    </row>
    <row r="694" spans="1:2" ht="14.25">
      <c r="A694" s="61"/>
      <c r="B694" s="62"/>
    </row>
    <row r="695" spans="1:2" ht="14.25">
      <c r="A695" s="61"/>
      <c r="B695" s="62"/>
    </row>
    <row r="696" spans="1:2" ht="14.25">
      <c r="A696" s="61"/>
      <c r="B696" s="62"/>
    </row>
    <row r="697" spans="1:2" ht="14.25">
      <c r="A697" s="61"/>
      <c r="B697" s="62"/>
    </row>
    <row r="698" spans="1:2" ht="14.25">
      <c r="A698" s="61"/>
      <c r="B698" s="62"/>
    </row>
    <row r="699" spans="1:2" ht="14.25">
      <c r="A699" s="61"/>
      <c r="B699" s="62"/>
    </row>
    <row r="700" spans="1:2" ht="14.25">
      <c r="A700" s="61"/>
      <c r="B700" s="62"/>
    </row>
    <row r="701" spans="1:2" ht="14.25">
      <c r="A701" s="61"/>
      <c r="B701" s="62"/>
    </row>
    <row r="702" spans="1:2" ht="14.25">
      <c r="A702" s="61"/>
      <c r="B702" s="62"/>
    </row>
    <row r="703" spans="1:2" ht="14.25">
      <c r="A703" s="61"/>
      <c r="B703" s="62"/>
    </row>
    <row r="704" spans="1:2" ht="14.25">
      <c r="A704" s="61"/>
      <c r="B704" s="62"/>
    </row>
    <row r="705" spans="1:2" ht="14.25">
      <c r="A705" s="61"/>
      <c r="B705" s="62"/>
    </row>
    <row r="706" spans="1:2" ht="14.25">
      <c r="A706" s="61"/>
      <c r="B706" s="62"/>
    </row>
    <row r="707" spans="1:2" ht="14.25">
      <c r="A707" s="61"/>
      <c r="B707" s="62"/>
    </row>
    <row r="708" spans="1:2" ht="14.25">
      <c r="A708" s="61"/>
      <c r="B708" s="62"/>
    </row>
    <row r="709" spans="1:2" ht="14.25">
      <c r="A709" s="61"/>
      <c r="B709" s="62"/>
    </row>
    <row r="710" spans="1:2" ht="14.25">
      <c r="A710" s="61"/>
      <c r="B710" s="62"/>
    </row>
    <row r="711" spans="1:2" ht="14.25">
      <c r="A711" s="61"/>
      <c r="B711" s="62"/>
    </row>
    <row r="712" spans="1:2" ht="14.25">
      <c r="A712" s="61"/>
      <c r="B712" s="62"/>
    </row>
    <row r="713" spans="1:2" ht="14.25">
      <c r="A713" s="61"/>
      <c r="B713" s="62"/>
    </row>
    <row r="714" spans="1:2" ht="14.25">
      <c r="A714" s="61"/>
      <c r="B714" s="62"/>
    </row>
    <row r="715" spans="1:2" ht="14.25">
      <c r="A715" s="61"/>
      <c r="B715" s="62"/>
    </row>
    <row r="716" spans="1:2" ht="14.25">
      <c r="A716" s="61"/>
      <c r="B716" s="62"/>
    </row>
    <row r="717" spans="1:2" ht="14.25">
      <c r="A717" s="61"/>
      <c r="B717" s="62"/>
    </row>
    <row r="718" spans="1:2" ht="14.25">
      <c r="A718" s="61"/>
      <c r="B718" s="62"/>
    </row>
    <row r="719" spans="1:2" ht="14.25">
      <c r="A719" s="61"/>
      <c r="B719" s="62"/>
    </row>
    <row r="720" spans="1:2" ht="14.25">
      <c r="A720" s="61"/>
      <c r="B720" s="62"/>
    </row>
    <row r="721" spans="1:2" ht="14.25">
      <c r="A721" s="61"/>
      <c r="B721" s="62"/>
    </row>
    <row r="722" spans="1:2" ht="14.25">
      <c r="A722" s="61"/>
      <c r="B722" s="62"/>
    </row>
    <row r="723" spans="1:2" ht="14.25">
      <c r="A723" s="61"/>
      <c r="B723" s="62"/>
    </row>
    <row r="724" spans="1:2" ht="14.25">
      <c r="A724" s="61"/>
      <c r="B724" s="62"/>
    </row>
    <row r="725" spans="1:2" ht="14.25">
      <c r="A725" s="61"/>
      <c r="B725" s="62"/>
    </row>
    <row r="726" spans="1:2" ht="14.25">
      <c r="A726" s="61"/>
      <c r="B726" s="62"/>
    </row>
    <row r="727" spans="1:2" ht="14.25">
      <c r="A727" s="61"/>
      <c r="B727" s="62"/>
    </row>
    <row r="728" spans="1:2" ht="14.25">
      <c r="A728" s="61"/>
      <c r="B728" s="62"/>
    </row>
    <row r="729" spans="1:2" ht="14.25">
      <c r="A729" s="61"/>
      <c r="B729" s="62"/>
    </row>
    <row r="730" spans="1:2" ht="14.25">
      <c r="A730" s="61"/>
      <c r="B730" s="62"/>
    </row>
    <row r="731" spans="1:2" ht="14.25">
      <c r="A731" s="61"/>
      <c r="B731" s="62"/>
    </row>
    <row r="732" spans="1:2" ht="14.25">
      <c r="A732" s="61"/>
      <c r="B732" s="62"/>
    </row>
    <row r="733" spans="1:2" ht="14.25">
      <c r="A733" s="61"/>
      <c r="B733" s="62"/>
    </row>
    <row r="734" spans="1:2" ht="14.25">
      <c r="A734" s="61"/>
      <c r="B734" s="62"/>
    </row>
    <row r="735" spans="1:2" ht="14.25">
      <c r="A735" s="61"/>
      <c r="B735" s="62"/>
    </row>
    <row r="736" spans="1:2" ht="14.25">
      <c r="A736" s="61"/>
      <c r="B736" s="62"/>
    </row>
    <row r="737" spans="1:2" ht="14.25">
      <c r="A737" s="61"/>
      <c r="B737" s="62"/>
    </row>
    <row r="738" spans="1:2" ht="14.25">
      <c r="A738" s="61"/>
      <c r="B738" s="62"/>
    </row>
    <row r="739" spans="1:2" ht="14.25">
      <c r="A739" s="61"/>
      <c r="B739" s="62"/>
    </row>
    <row r="740" spans="1:2" ht="14.25">
      <c r="A740" s="61"/>
      <c r="B740" s="62"/>
    </row>
    <row r="741" spans="1:2" ht="14.25">
      <c r="A741" s="61"/>
      <c r="B741" s="62"/>
    </row>
    <row r="742" spans="1:2" ht="14.25">
      <c r="A742" s="61"/>
      <c r="B742" s="62"/>
    </row>
    <row r="743" spans="1:2" ht="14.25">
      <c r="A743" s="61"/>
      <c r="B743" s="62"/>
    </row>
    <row r="744" spans="1:2" ht="14.25">
      <c r="A744" s="61"/>
      <c r="B744" s="62"/>
    </row>
    <row r="745" spans="1:2" ht="14.25">
      <c r="A745" s="61"/>
      <c r="B745" s="62"/>
    </row>
    <row r="746" spans="1:2" ht="14.25">
      <c r="A746" s="61"/>
      <c r="B746" s="62"/>
    </row>
    <row r="747" spans="1:2" ht="14.25">
      <c r="A747" s="61"/>
      <c r="B747" s="62"/>
    </row>
    <row r="748" spans="1:2" ht="14.25">
      <c r="A748" s="61"/>
      <c r="B748" s="62"/>
    </row>
    <row r="749" spans="1:2" ht="14.25">
      <c r="A749" s="61"/>
      <c r="B749" s="62"/>
    </row>
    <row r="750" spans="1:2" ht="14.25">
      <c r="A750" s="61"/>
      <c r="B750" s="62"/>
    </row>
    <row r="751" spans="1:2" ht="14.25">
      <c r="A751" s="61"/>
      <c r="B751" s="62"/>
    </row>
    <row r="752" spans="1:2" ht="14.25">
      <c r="A752" s="61"/>
      <c r="B752" s="62"/>
    </row>
    <row r="753" spans="1:2" ht="14.25">
      <c r="A753" s="61"/>
      <c r="B753" s="62"/>
    </row>
    <row r="754" spans="1:2" ht="14.25">
      <c r="A754" s="61"/>
      <c r="B754" s="62"/>
    </row>
    <row r="755" spans="1:2" ht="14.25">
      <c r="A755" s="61"/>
      <c r="B755" s="62"/>
    </row>
    <row r="756" spans="1:2" ht="14.25">
      <c r="A756" s="61"/>
      <c r="B756" s="62"/>
    </row>
    <row r="757" spans="1:2" ht="14.25">
      <c r="A757" s="61"/>
      <c r="B757" s="62"/>
    </row>
    <row r="758" spans="1:2" ht="14.25">
      <c r="A758" s="61"/>
      <c r="B758" s="62"/>
    </row>
    <row r="759" spans="1:2" ht="14.25">
      <c r="A759" s="61"/>
      <c r="B759" s="62"/>
    </row>
    <row r="760" spans="1:2" ht="14.25">
      <c r="A760" s="61"/>
      <c r="B760" s="62"/>
    </row>
    <row r="761" spans="1:2" ht="14.25">
      <c r="A761" s="61"/>
      <c r="B761" s="62"/>
    </row>
    <row r="762" spans="1:2" ht="14.25">
      <c r="A762" s="61"/>
      <c r="B762" s="62"/>
    </row>
    <row r="763" spans="1:2" ht="14.25">
      <c r="A763" s="61"/>
      <c r="B763" s="62"/>
    </row>
    <row r="764" spans="1:2" ht="14.25">
      <c r="A764" s="61"/>
      <c r="B764" s="62"/>
    </row>
    <row r="765" spans="1:2" ht="14.25">
      <c r="A765" s="61"/>
      <c r="B765" s="62"/>
    </row>
    <row r="766" spans="1:2" ht="14.25">
      <c r="A766" s="61"/>
      <c r="B766" s="62"/>
    </row>
    <row r="767" spans="1:2" ht="14.25">
      <c r="A767" s="61"/>
      <c r="B767" s="62"/>
    </row>
    <row r="768" spans="1:2" ht="14.25">
      <c r="A768" s="61"/>
      <c r="B768" s="62"/>
    </row>
    <row r="769" spans="1:2" ht="14.25">
      <c r="A769" s="61"/>
      <c r="B769" s="62"/>
    </row>
    <row r="770" spans="1:2" ht="14.25">
      <c r="A770" s="61"/>
      <c r="B770" s="62"/>
    </row>
    <row r="771" spans="1:2" ht="14.25">
      <c r="A771" s="61"/>
      <c r="B771" s="62"/>
    </row>
    <row r="772" spans="1:2" ht="14.25">
      <c r="A772" s="61"/>
      <c r="B772" s="62"/>
    </row>
    <row r="773" spans="1:2" ht="14.25">
      <c r="A773" s="61"/>
      <c r="B773" s="62"/>
    </row>
    <row r="774" spans="1:2" ht="14.25">
      <c r="A774" s="61"/>
      <c r="B774" s="62"/>
    </row>
    <row r="775" spans="1:2" ht="14.25">
      <c r="A775" s="61"/>
      <c r="B775" s="62"/>
    </row>
    <row r="776" spans="1:2" ht="14.25">
      <c r="A776" s="61"/>
      <c r="B776" s="62"/>
    </row>
    <row r="777" spans="1:2" ht="14.25">
      <c r="A777" s="61"/>
      <c r="B777" s="62"/>
    </row>
    <row r="778" spans="1:2" ht="14.25">
      <c r="A778" s="61"/>
      <c r="B778" s="62"/>
    </row>
    <row r="779" spans="1:2" ht="14.25">
      <c r="A779" s="61"/>
      <c r="B779" s="62"/>
    </row>
    <row r="780" spans="1:2" ht="14.25">
      <c r="A780" s="61"/>
      <c r="B780" s="62"/>
    </row>
    <row r="781" spans="1:2" ht="14.25">
      <c r="A781" s="61"/>
      <c r="B781" s="62"/>
    </row>
    <row r="782" spans="1:2" ht="14.25">
      <c r="A782" s="61"/>
      <c r="B782" s="62"/>
    </row>
    <row r="783" spans="1:2" ht="14.25">
      <c r="A783" s="61"/>
      <c r="B783" s="62"/>
    </row>
    <row r="784" spans="1:2" ht="14.25">
      <c r="A784" s="61"/>
      <c r="B784" s="62"/>
    </row>
    <row r="785" spans="1:2" ht="14.25">
      <c r="A785" s="61"/>
      <c r="B785" s="62"/>
    </row>
    <row r="786" spans="1:2" ht="14.25">
      <c r="A786" s="61"/>
      <c r="B786" s="62"/>
    </row>
    <row r="787" spans="1:2" ht="14.25">
      <c r="A787" s="61"/>
      <c r="B787" s="62"/>
    </row>
    <row r="788" spans="1:2" ht="14.25">
      <c r="A788" s="61"/>
      <c r="B788" s="62"/>
    </row>
    <row r="789" spans="1:2" ht="14.25">
      <c r="A789" s="61"/>
      <c r="B789" s="62"/>
    </row>
    <row r="790" spans="1:2" ht="14.25">
      <c r="A790" s="61"/>
      <c r="B790" s="62"/>
    </row>
    <row r="791" spans="1:2" ht="14.25">
      <c r="A791" s="61"/>
      <c r="B791" s="62"/>
    </row>
    <row r="792" spans="1:2" ht="14.25">
      <c r="A792" s="61"/>
      <c r="B792" s="62"/>
    </row>
    <row r="793" spans="1:2" ht="14.25">
      <c r="A793" s="61"/>
      <c r="B793" s="62"/>
    </row>
    <row r="794" spans="1:2" ht="14.25">
      <c r="A794" s="61"/>
      <c r="B794" s="62"/>
    </row>
    <row r="795" spans="1:2" ht="14.25">
      <c r="A795" s="61"/>
      <c r="B795" s="62"/>
    </row>
    <row r="796" spans="1:2" ht="14.25">
      <c r="A796" s="61"/>
      <c r="B796" s="62"/>
    </row>
    <row r="797" spans="1:2" ht="14.25">
      <c r="A797" s="61"/>
      <c r="B797" s="62"/>
    </row>
    <row r="798" spans="1:2" ht="14.25">
      <c r="A798" s="61"/>
      <c r="B798" s="62"/>
    </row>
    <row r="799" spans="1:2" ht="14.25">
      <c r="A799" s="61"/>
      <c r="B799" s="62"/>
    </row>
    <row r="800" spans="1:2" ht="14.25">
      <c r="A800" s="61"/>
      <c r="B800" s="62"/>
    </row>
    <row r="801" spans="1:2" ht="14.25">
      <c r="A801" s="61"/>
      <c r="B801" s="62"/>
    </row>
    <row r="802" spans="1:2" ht="14.25">
      <c r="A802" s="61"/>
      <c r="B802" s="62"/>
    </row>
    <row r="803" spans="1:2" ht="14.25">
      <c r="A803" s="61"/>
      <c r="B803" s="62"/>
    </row>
    <row r="804" spans="1:2" ht="14.25">
      <c r="A804" s="61"/>
      <c r="B804" s="62"/>
    </row>
    <row r="805" spans="1:2" ht="14.25">
      <c r="A805" s="61"/>
      <c r="B805" s="62"/>
    </row>
    <row r="806" spans="1:2" ht="14.25">
      <c r="A806" s="61"/>
      <c r="B806" s="62"/>
    </row>
    <row r="807" spans="1:2" ht="14.25">
      <c r="A807" s="61"/>
      <c r="B807" s="62"/>
    </row>
    <row r="808" spans="1:2" ht="14.25">
      <c r="A808" s="61"/>
      <c r="B808" s="62"/>
    </row>
    <row r="809" spans="1:2" ht="14.25">
      <c r="A809" s="61"/>
      <c r="B809" s="62"/>
    </row>
    <row r="810" spans="1:2" ht="14.25">
      <c r="A810" s="61"/>
      <c r="B810" s="62"/>
    </row>
    <row r="811" spans="1:2" ht="14.25">
      <c r="A811" s="61"/>
      <c r="B811" s="62"/>
    </row>
    <row r="812" spans="1:2" ht="14.25">
      <c r="A812" s="61"/>
      <c r="B812" s="62"/>
    </row>
    <row r="813" spans="1:2" ht="14.25">
      <c r="A813" s="61"/>
      <c r="B813" s="62"/>
    </row>
    <row r="814" spans="1:2" ht="14.25">
      <c r="A814" s="61"/>
      <c r="B814" s="62"/>
    </row>
    <row r="815" spans="1:2" ht="14.25">
      <c r="A815" s="61"/>
      <c r="B815" s="62"/>
    </row>
    <row r="816" spans="1:2" ht="14.25">
      <c r="A816" s="61"/>
      <c r="B816" s="62"/>
    </row>
    <row r="817" spans="1:2" ht="14.25">
      <c r="A817" s="61"/>
      <c r="B817" s="62"/>
    </row>
    <row r="818" spans="1:2" ht="14.25">
      <c r="A818" s="61"/>
      <c r="B818" s="62"/>
    </row>
    <row r="819" spans="1:2" ht="14.25">
      <c r="A819" s="61"/>
      <c r="B819" s="62"/>
    </row>
    <row r="820" spans="1:2" ht="14.25">
      <c r="A820" s="61"/>
      <c r="B820" s="62"/>
    </row>
    <row r="821" spans="1:2" ht="14.25">
      <c r="A821" s="61"/>
      <c r="B821" s="62"/>
    </row>
    <row r="822" spans="1:2" ht="14.25">
      <c r="A822" s="61"/>
      <c r="B822" s="62"/>
    </row>
    <row r="823" spans="1:2" ht="14.25">
      <c r="A823" s="61"/>
      <c r="B823" s="62"/>
    </row>
    <row r="824" spans="1:2" ht="14.25">
      <c r="A824" s="61"/>
      <c r="B824" s="62"/>
    </row>
    <row r="825" spans="1:2" ht="14.25">
      <c r="A825" s="61"/>
      <c r="B825" s="62"/>
    </row>
    <row r="826" spans="1:2" ht="14.25">
      <c r="A826" s="61"/>
      <c r="B826" s="62"/>
    </row>
    <row r="827" spans="1:2" ht="14.25">
      <c r="A827" s="61"/>
      <c r="B827" s="62"/>
    </row>
    <row r="828" spans="1:2" ht="14.25">
      <c r="A828" s="61"/>
      <c r="B828" s="62"/>
    </row>
    <row r="829" spans="1:2" ht="14.25">
      <c r="A829" s="61"/>
      <c r="B829" s="62"/>
    </row>
    <row r="830" spans="1:2" ht="14.25">
      <c r="A830" s="61"/>
      <c r="B830" s="62"/>
    </row>
    <row r="831" spans="1:2" ht="14.25">
      <c r="A831" s="61"/>
      <c r="B831" s="62"/>
    </row>
    <row r="832" spans="1:2" ht="14.25">
      <c r="A832" s="61"/>
      <c r="B832" s="62"/>
    </row>
    <row r="833" spans="1:2" ht="14.25">
      <c r="A833" s="61"/>
      <c r="B833" s="62"/>
    </row>
    <row r="834" spans="1:2" ht="14.25">
      <c r="A834" s="61"/>
      <c r="B834" s="62"/>
    </row>
    <row r="835" spans="1:2" ht="14.25">
      <c r="A835" s="61"/>
      <c r="B835" s="62"/>
    </row>
    <row r="836" spans="1:2" ht="14.25">
      <c r="A836" s="61"/>
      <c r="B836" s="62"/>
    </row>
    <row r="837" spans="1:2" ht="14.25">
      <c r="A837" s="61"/>
      <c r="B837" s="62"/>
    </row>
    <row r="838" spans="1:2" ht="14.25">
      <c r="A838" s="61"/>
      <c r="B838" s="62"/>
    </row>
    <row r="839" spans="1:2" ht="14.25">
      <c r="A839" s="61"/>
      <c r="B839" s="62"/>
    </row>
    <row r="840" spans="1:2" ht="14.25">
      <c r="A840" s="61"/>
      <c r="B840" s="62"/>
    </row>
    <row r="841" spans="1:2" ht="14.25">
      <c r="A841" s="61"/>
      <c r="B841" s="62"/>
    </row>
    <row r="842" spans="1:2" ht="14.25">
      <c r="A842" s="61"/>
      <c r="B842" s="62"/>
    </row>
    <row r="843" spans="1:2" ht="14.25">
      <c r="A843" s="61"/>
      <c r="B843" s="62"/>
    </row>
    <row r="844" spans="1:2" ht="14.25">
      <c r="A844" s="61"/>
      <c r="B844" s="62"/>
    </row>
    <row r="845" spans="1:2" ht="14.25">
      <c r="A845" s="61"/>
      <c r="B845" s="62"/>
    </row>
    <row r="846" spans="1:2" ht="14.25">
      <c r="A846" s="61"/>
      <c r="B846" s="62"/>
    </row>
    <row r="847" spans="1:2" ht="14.25">
      <c r="A847" s="61"/>
      <c r="B847" s="62"/>
    </row>
    <row r="848" spans="1:2" ht="14.25">
      <c r="A848" s="61"/>
      <c r="B848" s="62"/>
    </row>
    <row r="849" spans="1:2" ht="14.25">
      <c r="A849" s="61"/>
      <c r="B849" s="62"/>
    </row>
    <row r="850" spans="1:2" ht="14.25">
      <c r="A850" s="61"/>
      <c r="B850" s="62"/>
    </row>
    <row r="851" spans="1:2" ht="14.25">
      <c r="A851" s="61"/>
      <c r="B851" s="62"/>
    </row>
    <row r="852" spans="1:2" ht="14.25">
      <c r="A852" s="61"/>
      <c r="B852" s="62"/>
    </row>
    <row r="853" spans="1:2" ht="14.25">
      <c r="A853" s="61"/>
      <c r="B853" s="62"/>
    </row>
    <row r="854" spans="1:2" ht="14.25">
      <c r="A854" s="61"/>
      <c r="B854" s="62"/>
    </row>
    <row r="855" spans="1:2" ht="14.25">
      <c r="A855" s="61"/>
      <c r="B855" s="62"/>
    </row>
    <row r="856" spans="1:2" ht="14.25">
      <c r="A856" s="61"/>
      <c r="B856" s="62"/>
    </row>
    <row r="857" spans="1:2" ht="14.25">
      <c r="A857" s="61"/>
      <c r="B857" s="62"/>
    </row>
    <row r="858" spans="1:2" ht="14.25">
      <c r="A858" s="61"/>
      <c r="B858" s="62"/>
    </row>
    <row r="859" spans="1:2" ht="14.25">
      <c r="A859" s="61"/>
      <c r="B859" s="62"/>
    </row>
    <row r="860" spans="1:2" ht="14.25">
      <c r="A860" s="61"/>
      <c r="B860" s="62"/>
    </row>
    <row r="861" spans="1:2" ht="14.25">
      <c r="A861" s="61"/>
      <c r="B861" s="62"/>
    </row>
    <row r="862" spans="1:2" ht="14.25">
      <c r="A862" s="61"/>
      <c r="B862" s="62"/>
    </row>
    <row r="863" spans="1:2" ht="14.25">
      <c r="A863" s="61"/>
      <c r="B863" s="62"/>
    </row>
    <row r="864" spans="1:2" ht="14.25">
      <c r="A864" s="61"/>
      <c r="B864" s="62"/>
    </row>
    <row r="865" spans="1:2" ht="14.25">
      <c r="A865" s="61"/>
      <c r="B865" s="62"/>
    </row>
    <row r="866" spans="1:2" ht="14.25">
      <c r="A866" s="61"/>
      <c r="B866" s="62"/>
    </row>
    <row r="867" spans="1:2" ht="14.25">
      <c r="A867" s="61"/>
      <c r="B867" s="62"/>
    </row>
    <row r="868" spans="1:2" ht="14.25">
      <c r="A868" s="61"/>
      <c r="B868" s="62"/>
    </row>
    <row r="869" spans="1:2" ht="14.25">
      <c r="A869" s="61"/>
      <c r="B869" s="62"/>
    </row>
    <row r="870" spans="1:2" ht="14.25">
      <c r="A870" s="61"/>
      <c r="B870" s="62"/>
    </row>
    <row r="871" spans="1:2" ht="14.25">
      <c r="A871" s="61"/>
      <c r="B871" s="62"/>
    </row>
    <row r="872" spans="1:2" ht="14.25">
      <c r="A872" s="61"/>
      <c r="B872" s="62"/>
    </row>
    <row r="873" spans="1:2" ht="14.25">
      <c r="A873" s="61"/>
      <c r="B873" s="62"/>
    </row>
    <row r="874" spans="1:2" ht="14.25">
      <c r="A874" s="61"/>
      <c r="B874" s="62"/>
    </row>
    <row r="875" spans="1:2" ht="14.25">
      <c r="A875" s="61"/>
      <c r="B875" s="62"/>
    </row>
    <row r="876" spans="1:2" ht="14.25">
      <c r="A876" s="61"/>
      <c r="B876" s="62"/>
    </row>
    <row r="877" spans="1:2" ht="14.25">
      <c r="A877" s="61"/>
      <c r="B877" s="62"/>
    </row>
    <row r="878" spans="1:2" ht="14.25">
      <c r="A878" s="61"/>
      <c r="B878" s="62"/>
    </row>
    <row r="879" spans="1:2" ht="14.25">
      <c r="A879" s="61"/>
      <c r="B879" s="62"/>
    </row>
    <row r="880" spans="1:2" ht="14.25">
      <c r="A880" s="61"/>
      <c r="B880" s="62"/>
    </row>
    <row r="881" spans="1:2" ht="14.25">
      <c r="A881" s="61"/>
      <c r="B881" s="62"/>
    </row>
    <row r="882" spans="1:2" ht="14.25">
      <c r="A882" s="61"/>
      <c r="B882" s="62"/>
    </row>
    <row r="883" spans="1:2" ht="14.25">
      <c r="A883" s="61"/>
      <c r="B883" s="62"/>
    </row>
    <row r="884" spans="1:2" ht="14.25">
      <c r="A884" s="61"/>
      <c r="B884" s="62"/>
    </row>
    <row r="885" spans="1:2" ht="14.25">
      <c r="A885" s="61"/>
      <c r="B885" s="62"/>
    </row>
    <row r="886" spans="1:2" ht="14.25">
      <c r="A886" s="61"/>
      <c r="B886" s="62"/>
    </row>
    <row r="887" spans="1:2" ht="14.25">
      <c r="A887" s="61"/>
      <c r="B887" s="62"/>
    </row>
    <row r="888" spans="1:2" ht="14.25">
      <c r="A888" s="61"/>
      <c r="B888" s="62"/>
    </row>
    <row r="889" spans="1:2" ht="14.25">
      <c r="A889" s="61"/>
      <c r="B889" s="62"/>
    </row>
    <row r="890" spans="1:2" ht="14.25">
      <c r="A890" s="61"/>
      <c r="B890" s="62"/>
    </row>
    <row r="891" spans="1:2" ht="14.25">
      <c r="A891" s="61"/>
      <c r="B891" s="62"/>
    </row>
    <row r="892" spans="1:2" ht="14.25">
      <c r="A892" s="61"/>
      <c r="B892" s="62"/>
    </row>
    <row r="893" spans="1:2" ht="14.25">
      <c r="A893" s="61"/>
      <c r="B893" s="62"/>
    </row>
    <row r="894" spans="1:2" ht="14.25">
      <c r="A894" s="61"/>
      <c r="B894" s="62"/>
    </row>
    <row r="895" spans="1:2" ht="14.25">
      <c r="A895" s="61"/>
      <c r="B895" s="62"/>
    </row>
    <row r="896" spans="1:2" ht="14.25">
      <c r="A896" s="61"/>
      <c r="B896" s="62"/>
    </row>
    <row r="897" spans="1:2" ht="14.25">
      <c r="A897" s="61"/>
      <c r="B897" s="62"/>
    </row>
    <row r="898" spans="1:2" ht="14.25">
      <c r="A898" s="61"/>
      <c r="B898" s="62"/>
    </row>
    <row r="899" spans="1:2" ht="14.25">
      <c r="A899" s="61"/>
      <c r="B899" s="62"/>
    </row>
    <row r="900" spans="1:2" ht="14.25">
      <c r="A900" s="61"/>
      <c r="B900" s="62"/>
    </row>
    <row r="901" spans="1:2" ht="14.25">
      <c r="A901" s="61"/>
      <c r="B901" s="62"/>
    </row>
    <row r="902" spans="1:2" ht="14.25">
      <c r="A902" s="61"/>
      <c r="B902" s="62"/>
    </row>
    <row r="903" spans="1:2" ht="14.25">
      <c r="A903" s="61"/>
      <c r="B903" s="62"/>
    </row>
    <row r="904" spans="1:2" ht="14.25">
      <c r="A904" s="61"/>
      <c r="B904" s="62"/>
    </row>
    <row r="905" spans="1:2" ht="14.25">
      <c r="A905" s="61"/>
      <c r="B905" s="62"/>
    </row>
    <row r="906" spans="1:2" ht="14.25">
      <c r="A906" s="61"/>
      <c r="B906" s="62"/>
    </row>
    <row r="907" spans="1:2" ht="14.25">
      <c r="A907" s="61"/>
      <c r="B907" s="62"/>
    </row>
    <row r="908" spans="1:2" ht="14.25">
      <c r="A908" s="61"/>
      <c r="B908" s="62"/>
    </row>
    <row r="909" spans="1:2" ht="14.25">
      <c r="A909" s="61"/>
      <c r="B909" s="62"/>
    </row>
    <row r="910" spans="1:2" ht="14.25">
      <c r="A910" s="61"/>
      <c r="B910" s="62"/>
    </row>
    <row r="911" spans="1:2" ht="14.25">
      <c r="A911" s="61"/>
      <c r="B911" s="62"/>
    </row>
    <row r="912" spans="1:2" ht="14.25">
      <c r="A912" s="61"/>
      <c r="B912" s="62"/>
    </row>
    <row r="913" spans="1:2" ht="14.25">
      <c r="A913" s="61"/>
      <c r="B913" s="62"/>
    </row>
    <row r="914" spans="1:2" ht="14.25">
      <c r="A914" s="61"/>
      <c r="B914" s="62"/>
    </row>
    <row r="915" spans="1:2" ht="14.25">
      <c r="A915" s="61"/>
      <c r="B915" s="62"/>
    </row>
    <row r="916" spans="1:2" ht="14.25">
      <c r="A916" s="61"/>
      <c r="B916" s="62"/>
    </row>
    <row r="917" spans="1:2" ht="14.25">
      <c r="A917" s="61"/>
      <c r="B917" s="62"/>
    </row>
    <row r="918" spans="1:2" ht="14.25">
      <c r="A918" s="61"/>
      <c r="B918" s="62"/>
    </row>
    <row r="919" spans="1:2" ht="14.25">
      <c r="A919" s="61"/>
      <c r="B919" s="62"/>
    </row>
    <row r="920" spans="1:2" ht="14.25">
      <c r="A920" s="61"/>
      <c r="B920" s="62"/>
    </row>
    <row r="921" spans="1:2" ht="14.25">
      <c r="A921" s="61"/>
      <c r="B921" s="62"/>
    </row>
    <row r="922" spans="1:2" ht="14.25">
      <c r="A922" s="61"/>
      <c r="B922" s="62"/>
    </row>
    <row r="923" spans="1:2" ht="14.25">
      <c r="A923" s="61"/>
      <c r="B923" s="62"/>
    </row>
    <row r="924" spans="1:2" ht="14.25">
      <c r="A924" s="61"/>
      <c r="B924" s="62"/>
    </row>
    <row r="925" spans="1:2" ht="14.25">
      <c r="A925" s="61"/>
      <c r="B925" s="62"/>
    </row>
    <row r="926" spans="1:2" ht="14.25">
      <c r="A926" s="61"/>
      <c r="B926" s="62"/>
    </row>
    <row r="927" spans="1:2" ht="14.25">
      <c r="A927" s="61"/>
      <c r="B927" s="62"/>
    </row>
    <row r="928" spans="1:2" ht="14.25">
      <c r="A928" s="61"/>
      <c r="B928" s="62"/>
    </row>
    <row r="929" spans="1:2" ht="14.25">
      <c r="A929" s="61"/>
      <c r="B929" s="62"/>
    </row>
    <row r="930" spans="1:2" ht="14.25">
      <c r="A930" s="61"/>
      <c r="B930" s="62"/>
    </row>
    <row r="931" spans="1:2" ht="14.25">
      <c r="A931" s="61"/>
      <c r="B931" s="62"/>
    </row>
    <row r="932" spans="1:2" ht="14.25">
      <c r="A932" s="61"/>
      <c r="B932" s="62"/>
    </row>
    <row r="933" spans="1:2" ht="14.25">
      <c r="A933" s="61"/>
      <c r="B933" s="62"/>
    </row>
    <row r="934" spans="1:2" ht="14.25">
      <c r="A934" s="61"/>
      <c r="B934" s="62"/>
    </row>
    <row r="935" spans="1:2" ht="14.25">
      <c r="A935" s="61"/>
      <c r="B935" s="62"/>
    </row>
    <row r="936" spans="1:2" ht="14.25">
      <c r="A936" s="61"/>
      <c r="B936" s="62"/>
    </row>
    <row r="937" spans="1:2" ht="14.25">
      <c r="A937" s="61"/>
      <c r="B937" s="62"/>
    </row>
    <row r="938" spans="1:2" ht="14.25">
      <c r="A938" s="61"/>
      <c r="B938" s="62"/>
    </row>
    <row r="939" spans="1:2" ht="14.25">
      <c r="A939" s="61"/>
      <c r="B939" s="62"/>
    </row>
    <row r="940" spans="1:2" ht="14.25">
      <c r="A940" s="61"/>
      <c r="B940" s="62"/>
    </row>
    <row r="941" spans="1:2" ht="14.25">
      <c r="A941" s="61"/>
      <c r="B941" s="62"/>
    </row>
    <row r="942" spans="1:2" ht="14.25">
      <c r="A942" s="61"/>
      <c r="B942" s="62"/>
    </row>
    <row r="943" spans="1:2" ht="14.25">
      <c r="A943" s="61"/>
      <c r="B943" s="62"/>
    </row>
    <row r="944" spans="1:2" ht="14.25">
      <c r="A944" s="61"/>
      <c r="B944" s="62"/>
    </row>
    <row r="945" spans="1:2" ht="14.25">
      <c r="A945" s="61"/>
      <c r="B945" s="62"/>
    </row>
    <row r="946" spans="1:2" ht="14.25">
      <c r="A946" s="61"/>
      <c r="B946" s="62"/>
    </row>
    <row r="947" spans="1:2" ht="14.25">
      <c r="A947" s="61"/>
      <c r="B947" s="62"/>
    </row>
    <row r="948" spans="1:2" ht="14.25">
      <c r="A948" s="61"/>
      <c r="B948" s="62"/>
    </row>
    <row r="949" spans="1:2" ht="14.25">
      <c r="A949" s="61"/>
      <c r="B949" s="62"/>
    </row>
    <row r="950" spans="1:2" ht="14.25">
      <c r="A950" s="61"/>
      <c r="B950" s="62"/>
    </row>
    <row r="951" spans="1:2" ht="14.25">
      <c r="A951" s="61"/>
      <c r="B951" s="62"/>
    </row>
    <row r="952" spans="1:2" ht="14.25">
      <c r="A952" s="61"/>
      <c r="B952" s="62"/>
    </row>
    <row r="953" spans="1:2" ht="14.25">
      <c r="A953" s="61"/>
      <c r="B953" s="62"/>
    </row>
    <row r="954" spans="1:2" ht="14.25">
      <c r="A954" s="61"/>
      <c r="B954" s="62"/>
    </row>
    <row r="955" spans="1:2" ht="14.25">
      <c r="A955" s="61"/>
      <c r="B955" s="62"/>
    </row>
    <row r="956" spans="1:2" ht="14.25">
      <c r="A956" s="61"/>
      <c r="B956" s="62"/>
    </row>
    <row r="957" spans="1:2" ht="14.25">
      <c r="A957" s="61"/>
      <c r="B957" s="62"/>
    </row>
    <row r="958" spans="1:2" ht="14.25">
      <c r="A958" s="61"/>
      <c r="B958" s="62"/>
    </row>
    <row r="959" spans="1:2" ht="14.25">
      <c r="A959" s="61"/>
      <c r="B959" s="62"/>
    </row>
    <row r="960" spans="1:2" ht="14.25">
      <c r="A960" s="61"/>
      <c r="B960" s="62"/>
    </row>
    <row r="961" spans="1:2" ht="14.25">
      <c r="A961" s="61"/>
      <c r="B961" s="62"/>
    </row>
    <row r="962" spans="1:2" ht="14.25">
      <c r="A962" s="61"/>
      <c r="B962" s="62"/>
    </row>
    <row r="963" spans="1:2" ht="14.25">
      <c r="A963" s="61"/>
      <c r="B963" s="62"/>
    </row>
    <row r="964" spans="1:2" ht="14.25">
      <c r="A964" s="61"/>
      <c r="B964" s="62"/>
    </row>
    <row r="965" spans="1:2" ht="14.25">
      <c r="A965" s="61"/>
      <c r="B965" s="62"/>
    </row>
    <row r="966" spans="1:2" ht="14.25">
      <c r="A966" s="61"/>
      <c r="B966" s="62"/>
    </row>
    <row r="967" spans="1:2" ht="14.25">
      <c r="A967" s="61"/>
      <c r="B967" s="62"/>
    </row>
    <row r="968" spans="1:2" ht="14.25">
      <c r="A968" s="61"/>
      <c r="B968" s="62"/>
    </row>
    <row r="969" spans="1:2" ht="14.25">
      <c r="A969" s="61"/>
      <c r="B969" s="62"/>
    </row>
    <row r="970" spans="1:2" ht="14.25">
      <c r="A970" s="61"/>
      <c r="B970" s="62"/>
    </row>
    <row r="971" spans="1:2" ht="14.25">
      <c r="A971" s="61"/>
      <c r="B971" s="62"/>
    </row>
    <row r="972" spans="1:2" ht="14.25">
      <c r="A972" s="61"/>
      <c r="B972" s="62"/>
    </row>
    <row r="973" spans="1:2" ht="14.25">
      <c r="A973" s="61"/>
      <c r="B973" s="62"/>
    </row>
    <row r="974" spans="1:2" ht="14.25">
      <c r="A974" s="61"/>
      <c r="B974" s="62"/>
    </row>
    <row r="975" spans="1:2" ht="14.25">
      <c r="A975" s="61"/>
      <c r="B975" s="62"/>
    </row>
    <row r="976" spans="1:2" ht="14.25">
      <c r="A976" s="61"/>
      <c r="B976" s="62"/>
    </row>
    <row r="977" spans="1:2" ht="14.25">
      <c r="A977" s="61"/>
      <c r="B977" s="62"/>
    </row>
    <row r="978" spans="1:2" ht="14.25">
      <c r="A978" s="61"/>
      <c r="B978" s="62"/>
    </row>
    <row r="979" spans="1:2" ht="14.25">
      <c r="A979" s="61"/>
      <c r="B979" s="62"/>
    </row>
    <row r="980" spans="1:2" ht="14.25">
      <c r="A980" s="61"/>
      <c r="B980" s="62"/>
    </row>
    <row r="981" spans="1:2" ht="14.25">
      <c r="A981" s="61"/>
      <c r="B981" s="62"/>
    </row>
    <row r="982" spans="1:2" ht="14.25">
      <c r="A982" s="61"/>
      <c r="B982" s="62"/>
    </row>
    <row r="983" spans="1:2" ht="14.25">
      <c r="A983" s="61"/>
      <c r="B983" s="62"/>
    </row>
    <row r="984" spans="1:2" ht="14.25">
      <c r="A984" s="61"/>
      <c r="B984" s="62"/>
    </row>
    <row r="985" spans="1:2" ht="14.25">
      <c r="A985" s="61"/>
      <c r="B985" s="62"/>
    </row>
    <row r="986" spans="1:2" ht="14.25">
      <c r="A986" s="61"/>
      <c r="B986" s="62"/>
    </row>
    <row r="987" spans="1:2" ht="14.25">
      <c r="A987" s="61"/>
      <c r="B987" s="62"/>
    </row>
    <row r="988" spans="1:2" ht="14.25">
      <c r="A988" s="61"/>
      <c r="B988" s="62"/>
    </row>
    <row r="989" spans="1:2" ht="14.25">
      <c r="A989" s="61"/>
      <c r="B989" s="62"/>
    </row>
    <row r="990" spans="1:2" ht="14.25">
      <c r="A990" s="61"/>
      <c r="B990" s="62"/>
    </row>
    <row r="991" spans="1:2" ht="14.25">
      <c r="A991" s="61"/>
      <c r="B991" s="62"/>
    </row>
    <row r="992" spans="1:2" ht="14.25">
      <c r="A992" s="61"/>
      <c r="B992" s="62"/>
    </row>
    <row r="993" spans="1:2" ht="14.25">
      <c r="A993" s="61"/>
      <c r="B993" s="62"/>
    </row>
    <row r="994" spans="1:2" ht="14.25">
      <c r="A994" s="61"/>
      <c r="B994" s="62"/>
    </row>
    <row r="995" spans="1:2" ht="14.25">
      <c r="A995" s="61"/>
      <c r="B995" s="62"/>
    </row>
    <row r="996" spans="1:2" ht="14.25">
      <c r="A996" s="61"/>
      <c r="B996" s="62"/>
    </row>
    <row r="997" spans="1:2" ht="14.25">
      <c r="A997" s="61"/>
      <c r="B997" s="62"/>
    </row>
    <row r="998" spans="1:2" ht="14.25">
      <c r="A998" s="61"/>
      <c r="B998" s="62"/>
    </row>
    <row r="999" spans="1:2" ht="14.25">
      <c r="A999" s="61"/>
      <c r="B999" s="62"/>
    </row>
    <row r="1000" spans="1:2" ht="14.25">
      <c r="A1000" s="61"/>
      <c r="B1000" s="62"/>
    </row>
    <row r="1001" spans="1:2" ht="14.25">
      <c r="A1001" s="61"/>
      <c r="B1001" s="62"/>
    </row>
    <row r="1002" spans="1:2" ht="14.25">
      <c r="A1002" s="61"/>
      <c r="B1002" s="62"/>
    </row>
    <row r="1003" spans="1:2" ht="14.25">
      <c r="A1003" s="61"/>
      <c r="B1003" s="62"/>
    </row>
  </sheetData>
  <mergeCells count="1">
    <mergeCell ref="A1:C1"/>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E1000"/>
  <sheetViews>
    <sheetView zoomScale="90" zoomScaleNormal="90" workbookViewId="0">
      <selection activeCell="E1" sqref="E1:E1048576"/>
    </sheetView>
  </sheetViews>
  <sheetFormatPr defaultColWidth="11.5703125" defaultRowHeight="23.25"/>
  <cols>
    <col min="1" max="1" width="80.85546875" customWidth="1"/>
    <col min="2" max="2" width="3.42578125" customWidth="1"/>
    <col min="3" max="4" width="12.5703125" customWidth="1"/>
    <col min="5" max="5" width="11.140625" style="74" customWidth="1"/>
    <col min="6" max="64" width="12.5703125" customWidth="1"/>
  </cols>
  <sheetData>
    <row r="1" spans="1:2">
      <c r="A1" s="63" t="s">
        <v>75</v>
      </c>
      <c r="B1" s="64"/>
    </row>
    <row r="2" spans="1:2">
      <c r="A2" s="65"/>
      <c r="B2" s="66"/>
    </row>
    <row r="3" spans="1:2">
      <c r="A3" s="65" t="s">
        <v>76</v>
      </c>
      <c r="B3" s="66"/>
    </row>
    <row r="4" spans="1:2">
      <c r="A4" s="67"/>
      <c r="B4" s="66"/>
    </row>
    <row r="5" spans="1:2">
      <c r="A5" s="67"/>
      <c r="B5" s="66"/>
    </row>
    <row r="6" spans="1:2" ht="59.25">
      <c r="A6" s="67" t="s">
        <v>77</v>
      </c>
      <c r="B6" s="66"/>
    </row>
    <row r="7" spans="1:2">
      <c r="A7" s="67"/>
      <c r="B7" s="66"/>
    </row>
    <row r="8" spans="1:2" ht="30.75">
      <c r="A8" s="67" t="s">
        <v>78</v>
      </c>
      <c r="B8" s="66"/>
    </row>
    <row r="9" spans="1:2">
      <c r="A9" s="67"/>
      <c r="B9" s="66"/>
    </row>
    <row r="10" spans="1:2" ht="30.75">
      <c r="A10" s="67" t="s">
        <v>79</v>
      </c>
      <c r="B10" s="66"/>
    </row>
    <row r="11" spans="1:2">
      <c r="A11" s="67"/>
      <c r="B11" s="66"/>
    </row>
    <row r="12" spans="1:2" ht="30.75">
      <c r="A12" s="67" t="s">
        <v>80</v>
      </c>
      <c r="B12" s="66"/>
    </row>
    <row r="13" spans="1:2">
      <c r="A13" s="67"/>
      <c r="B13" s="66"/>
    </row>
    <row r="14" spans="1:2" ht="30.75">
      <c r="A14" s="67" t="s">
        <v>81</v>
      </c>
      <c r="B14" s="66"/>
    </row>
    <row r="15" spans="1:2">
      <c r="A15" s="67"/>
      <c r="B15" s="66"/>
    </row>
    <row r="16" spans="1:2" ht="59.25">
      <c r="A16" s="67" t="s">
        <v>82</v>
      </c>
      <c r="B16" s="66"/>
    </row>
    <row r="17" spans="1:2">
      <c r="A17" s="67"/>
      <c r="B17" s="66"/>
    </row>
    <row r="18" spans="1:2">
      <c r="A18" s="67" t="s">
        <v>83</v>
      </c>
      <c r="B18" s="66"/>
    </row>
    <row r="19" spans="1:2">
      <c r="A19" s="67"/>
      <c r="B19" s="66"/>
    </row>
    <row r="20" spans="1:2" ht="30.75">
      <c r="A20" s="67" t="s">
        <v>84</v>
      </c>
      <c r="B20" s="66"/>
    </row>
    <row r="21" spans="1:2">
      <c r="A21" s="67"/>
      <c r="B21" s="66"/>
    </row>
    <row r="22" spans="1:2" ht="45">
      <c r="A22" s="67" t="s">
        <v>85</v>
      </c>
      <c r="B22" s="66"/>
    </row>
    <row r="23" spans="1:2">
      <c r="A23" s="67"/>
      <c r="B23" s="66"/>
    </row>
    <row r="24" spans="1:2" ht="59.25">
      <c r="A24" s="67" t="s">
        <v>86</v>
      </c>
      <c r="B24" s="66"/>
    </row>
    <row r="25" spans="1:2">
      <c r="A25" s="67"/>
      <c r="B25" s="66"/>
    </row>
    <row r="26" spans="1:2">
      <c r="A26" s="68" t="s">
        <v>87</v>
      </c>
      <c r="B26" s="66"/>
    </row>
    <row r="27" spans="1:2">
      <c r="A27" s="67"/>
      <c r="B27" s="66"/>
    </row>
    <row r="28" spans="1:2">
      <c r="A28" s="69"/>
      <c r="B28" s="70"/>
    </row>
    <row r="29" spans="1:2">
      <c r="A29" s="71"/>
    </row>
    <row r="30" spans="1:2">
      <c r="A30" s="71"/>
    </row>
    <row r="31" spans="1:2">
      <c r="A31" s="71"/>
    </row>
    <row r="32" spans="1:2">
      <c r="A32" s="71"/>
    </row>
    <row r="33" spans="1:1">
      <c r="A33" s="72"/>
    </row>
    <row r="34" spans="1:1">
      <c r="A34" s="72"/>
    </row>
    <row r="35" spans="1:1">
      <c r="A35" s="72"/>
    </row>
    <row r="36" spans="1:1">
      <c r="A36" s="72"/>
    </row>
    <row r="37" spans="1:1">
      <c r="A37" s="72"/>
    </row>
    <row r="38" spans="1:1">
      <c r="A38" s="72"/>
    </row>
    <row r="39" spans="1:1">
      <c r="A39" s="72"/>
    </row>
    <row r="40" spans="1:1">
      <c r="A40" s="72"/>
    </row>
    <row r="41" spans="1:1">
      <c r="A41" s="72"/>
    </row>
    <row r="42" spans="1:1">
      <c r="A42" s="72"/>
    </row>
    <row r="43" spans="1:1">
      <c r="A43" s="72"/>
    </row>
    <row r="44" spans="1:1">
      <c r="A44" s="72"/>
    </row>
    <row r="45" spans="1:1">
      <c r="A45" s="72"/>
    </row>
    <row r="46" spans="1:1">
      <c r="A46" s="72"/>
    </row>
    <row r="47" spans="1:1">
      <c r="A47" s="72"/>
    </row>
    <row r="48" spans="1:1">
      <c r="A48" s="72"/>
    </row>
    <row r="49" spans="1:1">
      <c r="A49" s="72"/>
    </row>
    <row r="50" spans="1:1">
      <c r="A50" s="72"/>
    </row>
    <row r="51" spans="1:1">
      <c r="A51" s="72"/>
    </row>
    <row r="52" spans="1:1">
      <c r="A52" s="72"/>
    </row>
    <row r="53" spans="1:1">
      <c r="A53" s="72"/>
    </row>
    <row r="54" spans="1:1">
      <c r="A54" s="72"/>
    </row>
    <row r="55" spans="1:1">
      <c r="A55" s="72"/>
    </row>
    <row r="56" spans="1:1">
      <c r="A56" s="72"/>
    </row>
    <row r="57" spans="1:1">
      <c r="A57" s="72"/>
    </row>
    <row r="58" spans="1:1">
      <c r="A58" s="72"/>
    </row>
    <row r="59" spans="1:1">
      <c r="A59" s="72"/>
    </row>
    <row r="60" spans="1:1">
      <c r="A60" s="72"/>
    </row>
    <row r="61" spans="1:1">
      <c r="A61" s="72"/>
    </row>
    <row r="62" spans="1:1">
      <c r="A62" s="72"/>
    </row>
    <row r="63" spans="1:1">
      <c r="A63" s="72"/>
    </row>
    <row r="64" spans="1:1">
      <c r="A64" s="72"/>
    </row>
    <row r="65" spans="1:1">
      <c r="A65" s="72"/>
    </row>
    <row r="66" spans="1:1">
      <c r="A66" s="72"/>
    </row>
    <row r="67" spans="1:1">
      <c r="A67" s="72"/>
    </row>
    <row r="68" spans="1:1">
      <c r="A68" s="72"/>
    </row>
    <row r="69" spans="1:1">
      <c r="A69" s="72"/>
    </row>
    <row r="70" spans="1:1">
      <c r="A70" s="72"/>
    </row>
    <row r="71" spans="1:1">
      <c r="A71" s="72"/>
    </row>
    <row r="72" spans="1:1">
      <c r="A72" s="72"/>
    </row>
    <row r="73" spans="1:1">
      <c r="A73" s="72"/>
    </row>
    <row r="74" spans="1:1">
      <c r="A74" s="72"/>
    </row>
    <row r="75" spans="1:1">
      <c r="A75" s="72"/>
    </row>
    <row r="76" spans="1:1">
      <c r="A76" s="72"/>
    </row>
    <row r="77" spans="1:1">
      <c r="A77" s="72"/>
    </row>
    <row r="78" spans="1:1">
      <c r="A78" s="72"/>
    </row>
    <row r="79" spans="1:1">
      <c r="A79" s="72"/>
    </row>
    <row r="80" spans="1:1">
      <c r="A80" s="72"/>
    </row>
    <row r="81" spans="1:1">
      <c r="A81" s="72"/>
    </row>
    <row r="82" spans="1:1">
      <c r="A82" s="72"/>
    </row>
    <row r="83" spans="1:1">
      <c r="A83" s="72"/>
    </row>
    <row r="84" spans="1:1">
      <c r="A84" s="72"/>
    </row>
    <row r="85" spans="1:1">
      <c r="A85" s="72"/>
    </row>
    <row r="86" spans="1:1">
      <c r="A86" s="72"/>
    </row>
    <row r="87" spans="1:1">
      <c r="A87" s="72"/>
    </row>
    <row r="88" spans="1:1">
      <c r="A88" s="72"/>
    </row>
    <row r="89" spans="1:1">
      <c r="A89" s="72"/>
    </row>
    <row r="90" spans="1:1">
      <c r="A90" s="72"/>
    </row>
    <row r="91" spans="1:1">
      <c r="A91" s="72"/>
    </row>
    <row r="92" spans="1:1">
      <c r="A92" s="72"/>
    </row>
    <row r="93" spans="1:1">
      <c r="A93" s="72"/>
    </row>
    <row r="94" spans="1:1">
      <c r="A94" s="72"/>
    </row>
    <row r="95" spans="1:1">
      <c r="A95" s="72"/>
    </row>
    <row r="96" spans="1:1">
      <c r="A96" s="72"/>
    </row>
    <row r="97" spans="1:1">
      <c r="A97" s="72"/>
    </row>
    <row r="98" spans="1:1">
      <c r="A98" s="72"/>
    </row>
    <row r="99" spans="1:1">
      <c r="A99" s="72"/>
    </row>
    <row r="100" spans="1:1">
      <c r="A100" s="72"/>
    </row>
    <row r="101" spans="1:1">
      <c r="A101" s="72"/>
    </row>
    <row r="102" spans="1:1">
      <c r="A102" s="72"/>
    </row>
    <row r="103" spans="1:1">
      <c r="A103" s="72"/>
    </row>
    <row r="104" spans="1:1">
      <c r="A104" s="72"/>
    </row>
    <row r="105" spans="1:1">
      <c r="A105" s="72"/>
    </row>
    <row r="106" spans="1:1">
      <c r="A106" s="72"/>
    </row>
    <row r="107" spans="1:1">
      <c r="A107" s="72"/>
    </row>
    <row r="108" spans="1:1">
      <c r="A108" s="72"/>
    </row>
    <row r="109" spans="1:1">
      <c r="A109" s="72"/>
    </row>
    <row r="110" spans="1:1">
      <c r="A110" s="72"/>
    </row>
    <row r="111" spans="1:1">
      <c r="A111" s="72"/>
    </row>
    <row r="112" spans="1:1">
      <c r="A112" s="72"/>
    </row>
    <row r="113" spans="1:1">
      <c r="A113" s="72"/>
    </row>
    <row r="114" spans="1:1">
      <c r="A114" s="72"/>
    </row>
    <row r="115" spans="1:1">
      <c r="A115" s="72"/>
    </row>
    <row r="116" spans="1:1">
      <c r="A116" s="72"/>
    </row>
    <row r="117" spans="1:1">
      <c r="A117" s="72"/>
    </row>
    <row r="118" spans="1:1">
      <c r="A118" s="72"/>
    </row>
    <row r="119" spans="1:1">
      <c r="A119" s="72"/>
    </row>
    <row r="120" spans="1:1">
      <c r="A120" s="72"/>
    </row>
    <row r="121" spans="1:1">
      <c r="A121" s="72"/>
    </row>
    <row r="122" spans="1:1">
      <c r="A122" s="72"/>
    </row>
    <row r="123" spans="1:1">
      <c r="A123" s="72"/>
    </row>
    <row r="124" spans="1:1">
      <c r="A124" s="72"/>
    </row>
    <row r="125" spans="1:1">
      <c r="A125" s="72"/>
    </row>
    <row r="126" spans="1:1">
      <c r="A126" s="72"/>
    </row>
    <row r="127" spans="1:1">
      <c r="A127" s="72"/>
    </row>
    <row r="128" spans="1:1">
      <c r="A128" s="72"/>
    </row>
    <row r="129" spans="1:1">
      <c r="A129" s="72"/>
    </row>
    <row r="130" spans="1:1">
      <c r="A130" s="72"/>
    </row>
    <row r="131" spans="1:1">
      <c r="A131" s="72"/>
    </row>
    <row r="132" spans="1:1">
      <c r="A132" s="72"/>
    </row>
    <row r="133" spans="1:1">
      <c r="A133" s="72"/>
    </row>
    <row r="134" spans="1:1">
      <c r="A134" s="72"/>
    </row>
    <row r="135" spans="1:1">
      <c r="A135" s="72"/>
    </row>
    <row r="136" spans="1:1">
      <c r="A136" s="72"/>
    </row>
    <row r="137" spans="1:1">
      <c r="A137" s="72"/>
    </row>
    <row r="138" spans="1:1">
      <c r="A138" s="72"/>
    </row>
    <row r="139" spans="1:1">
      <c r="A139" s="72"/>
    </row>
    <row r="140" spans="1:1">
      <c r="A140" s="72"/>
    </row>
    <row r="141" spans="1:1">
      <c r="A141" s="72"/>
    </row>
    <row r="142" spans="1:1">
      <c r="A142" s="72"/>
    </row>
    <row r="143" spans="1:1">
      <c r="A143" s="72"/>
    </row>
    <row r="144" spans="1:1">
      <c r="A144" s="72"/>
    </row>
    <row r="145" spans="1:1">
      <c r="A145" s="72"/>
    </row>
    <row r="146" spans="1:1">
      <c r="A146" s="72"/>
    </row>
    <row r="147" spans="1:1">
      <c r="A147" s="72"/>
    </row>
    <row r="148" spans="1:1">
      <c r="A148" s="72"/>
    </row>
    <row r="149" spans="1:1">
      <c r="A149" s="72"/>
    </row>
    <row r="150" spans="1:1">
      <c r="A150" s="72"/>
    </row>
    <row r="151" spans="1:1">
      <c r="A151" s="72"/>
    </row>
    <row r="152" spans="1:1">
      <c r="A152" s="72"/>
    </row>
    <row r="153" spans="1:1">
      <c r="A153" s="72"/>
    </row>
    <row r="154" spans="1:1">
      <c r="A154" s="72"/>
    </row>
    <row r="155" spans="1:1">
      <c r="A155" s="72"/>
    </row>
    <row r="156" spans="1:1">
      <c r="A156" s="72"/>
    </row>
    <row r="157" spans="1:1">
      <c r="A157" s="72"/>
    </row>
    <row r="158" spans="1:1">
      <c r="A158" s="72"/>
    </row>
    <row r="159" spans="1:1">
      <c r="A159" s="72"/>
    </row>
    <row r="160" spans="1:1">
      <c r="A160" s="72"/>
    </row>
    <row r="161" spans="1:1">
      <c r="A161" s="72"/>
    </row>
    <row r="162" spans="1:1">
      <c r="A162" s="72"/>
    </row>
    <row r="163" spans="1:1">
      <c r="A163" s="72"/>
    </row>
    <row r="164" spans="1:1">
      <c r="A164" s="72"/>
    </row>
    <row r="165" spans="1:1">
      <c r="A165" s="72"/>
    </row>
    <row r="166" spans="1:1">
      <c r="A166" s="72"/>
    </row>
    <row r="167" spans="1:1">
      <c r="A167" s="72"/>
    </row>
    <row r="168" spans="1:1">
      <c r="A168" s="72"/>
    </row>
    <row r="169" spans="1:1">
      <c r="A169" s="72"/>
    </row>
    <row r="170" spans="1:1">
      <c r="A170" s="72"/>
    </row>
    <row r="171" spans="1:1">
      <c r="A171" s="72"/>
    </row>
    <row r="172" spans="1:1">
      <c r="A172" s="72"/>
    </row>
    <row r="173" spans="1:1">
      <c r="A173" s="72"/>
    </row>
    <row r="174" spans="1:1">
      <c r="A174" s="72"/>
    </row>
    <row r="175" spans="1:1">
      <c r="A175" s="72"/>
    </row>
    <row r="176" spans="1:1">
      <c r="A176" s="72"/>
    </row>
    <row r="177" spans="1:1">
      <c r="A177" s="72"/>
    </row>
    <row r="178" spans="1:1">
      <c r="A178" s="72"/>
    </row>
    <row r="179" spans="1:1">
      <c r="A179" s="72"/>
    </row>
    <row r="180" spans="1:1">
      <c r="A180" s="72"/>
    </row>
    <row r="181" spans="1:1">
      <c r="A181" s="72"/>
    </row>
    <row r="182" spans="1:1">
      <c r="A182" s="72"/>
    </row>
    <row r="183" spans="1:1">
      <c r="A183" s="72"/>
    </row>
    <row r="184" spans="1:1">
      <c r="A184" s="72"/>
    </row>
    <row r="185" spans="1:1">
      <c r="A185" s="72"/>
    </row>
    <row r="186" spans="1:1">
      <c r="A186" s="72"/>
    </row>
    <row r="187" spans="1:1">
      <c r="A187" s="72"/>
    </row>
    <row r="188" spans="1:1">
      <c r="A188" s="72"/>
    </row>
    <row r="189" spans="1:1">
      <c r="A189" s="72"/>
    </row>
    <row r="190" spans="1:1">
      <c r="A190" s="72"/>
    </row>
    <row r="191" spans="1:1">
      <c r="A191" s="72"/>
    </row>
    <row r="192" spans="1:1">
      <c r="A192" s="72"/>
    </row>
    <row r="193" spans="1:1">
      <c r="A193" s="72"/>
    </row>
    <row r="194" spans="1:1">
      <c r="A194" s="72"/>
    </row>
    <row r="195" spans="1:1">
      <c r="A195" s="72"/>
    </row>
    <row r="196" spans="1:1">
      <c r="A196" s="72"/>
    </row>
    <row r="197" spans="1:1">
      <c r="A197" s="72"/>
    </row>
    <row r="198" spans="1:1">
      <c r="A198" s="72"/>
    </row>
    <row r="199" spans="1:1">
      <c r="A199" s="72"/>
    </row>
    <row r="200" spans="1:1">
      <c r="A200" s="72"/>
    </row>
    <row r="201" spans="1:1">
      <c r="A201" s="72"/>
    </row>
    <row r="202" spans="1:1">
      <c r="A202" s="72"/>
    </row>
    <row r="203" spans="1:1">
      <c r="A203" s="72"/>
    </row>
    <row r="204" spans="1:1">
      <c r="A204" s="72"/>
    </row>
    <row r="205" spans="1:1">
      <c r="A205" s="72"/>
    </row>
    <row r="206" spans="1:1">
      <c r="A206" s="72"/>
    </row>
    <row r="207" spans="1:1">
      <c r="A207" s="72"/>
    </row>
    <row r="208" spans="1:1">
      <c r="A208" s="72"/>
    </row>
    <row r="209" spans="1:1">
      <c r="A209" s="72"/>
    </row>
    <row r="210" spans="1:1">
      <c r="A210" s="72"/>
    </row>
    <row r="211" spans="1:1">
      <c r="A211" s="72"/>
    </row>
    <row r="212" spans="1:1">
      <c r="A212" s="72"/>
    </row>
    <row r="213" spans="1:1">
      <c r="A213" s="72"/>
    </row>
    <row r="214" spans="1:1">
      <c r="A214" s="72"/>
    </row>
    <row r="215" spans="1:1">
      <c r="A215" s="72"/>
    </row>
    <row r="216" spans="1:1">
      <c r="A216" s="72"/>
    </row>
    <row r="217" spans="1:1">
      <c r="A217" s="72"/>
    </row>
    <row r="218" spans="1:1">
      <c r="A218" s="72"/>
    </row>
    <row r="219" spans="1:1">
      <c r="A219" s="72"/>
    </row>
    <row r="220" spans="1:1">
      <c r="A220" s="72"/>
    </row>
    <row r="221" spans="1:1">
      <c r="A221" s="72"/>
    </row>
    <row r="222" spans="1:1">
      <c r="A222" s="72"/>
    </row>
    <row r="223" spans="1:1">
      <c r="A223" s="72"/>
    </row>
    <row r="224" spans="1:1">
      <c r="A224" s="72"/>
    </row>
    <row r="225" spans="1:1">
      <c r="A225" s="72"/>
    </row>
    <row r="226" spans="1:1">
      <c r="A226" s="72"/>
    </row>
    <row r="227" spans="1:1">
      <c r="A227" s="72"/>
    </row>
    <row r="228" spans="1:1">
      <c r="A228" s="72"/>
    </row>
    <row r="229" spans="1:1">
      <c r="A229" s="72"/>
    </row>
    <row r="230" spans="1:1">
      <c r="A230" s="72"/>
    </row>
    <row r="231" spans="1:1">
      <c r="A231" s="72"/>
    </row>
    <row r="232" spans="1:1">
      <c r="A232" s="72"/>
    </row>
    <row r="233" spans="1:1">
      <c r="A233" s="72"/>
    </row>
    <row r="234" spans="1:1">
      <c r="A234" s="72"/>
    </row>
    <row r="235" spans="1:1">
      <c r="A235" s="72"/>
    </row>
    <row r="236" spans="1:1">
      <c r="A236" s="72"/>
    </row>
    <row r="237" spans="1:1">
      <c r="A237" s="72"/>
    </row>
    <row r="238" spans="1:1">
      <c r="A238" s="72"/>
    </row>
    <row r="239" spans="1:1">
      <c r="A239" s="72"/>
    </row>
    <row r="240" spans="1:1">
      <c r="A240" s="72"/>
    </row>
    <row r="241" spans="1:1">
      <c r="A241" s="72"/>
    </row>
    <row r="242" spans="1:1">
      <c r="A242" s="72"/>
    </row>
    <row r="243" spans="1:1">
      <c r="A243" s="72"/>
    </row>
    <row r="244" spans="1:1">
      <c r="A244" s="72"/>
    </row>
    <row r="245" spans="1:1">
      <c r="A245" s="72"/>
    </row>
    <row r="246" spans="1:1">
      <c r="A246" s="72"/>
    </row>
    <row r="247" spans="1:1">
      <c r="A247" s="72"/>
    </row>
    <row r="248" spans="1:1">
      <c r="A248" s="72"/>
    </row>
    <row r="249" spans="1:1">
      <c r="A249" s="72"/>
    </row>
    <row r="250" spans="1:1">
      <c r="A250" s="72"/>
    </row>
    <row r="251" spans="1:1">
      <c r="A251" s="72"/>
    </row>
    <row r="252" spans="1:1">
      <c r="A252" s="72"/>
    </row>
    <row r="253" spans="1:1">
      <c r="A253" s="72"/>
    </row>
    <row r="254" spans="1:1">
      <c r="A254" s="72"/>
    </row>
    <row r="255" spans="1:1">
      <c r="A255" s="72"/>
    </row>
    <row r="256" spans="1:1">
      <c r="A256" s="72"/>
    </row>
    <row r="257" spans="1:1">
      <c r="A257" s="72"/>
    </row>
    <row r="258" spans="1:1">
      <c r="A258" s="72"/>
    </row>
    <row r="259" spans="1:1">
      <c r="A259" s="72"/>
    </row>
    <row r="260" spans="1:1">
      <c r="A260" s="72"/>
    </row>
    <row r="261" spans="1:1">
      <c r="A261" s="72"/>
    </row>
    <row r="262" spans="1:1">
      <c r="A262" s="72"/>
    </row>
    <row r="263" spans="1:1">
      <c r="A263" s="72"/>
    </row>
    <row r="264" spans="1:1">
      <c r="A264" s="72"/>
    </row>
    <row r="265" spans="1:1">
      <c r="A265" s="72"/>
    </row>
    <row r="266" spans="1:1">
      <c r="A266" s="72"/>
    </row>
    <row r="267" spans="1:1">
      <c r="A267" s="72"/>
    </row>
    <row r="268" spans="1:1">
      <c r="A268" s="72"/>
    </row>
    <row r="269" spans="1:1">
      <c r="A269" s="72"/>
    </row>
    <row r="270" spans="1:1">
      <c r="A270" s="72"/>
    </row>
    <row r="271" spans="1:1">
      <c r="A271" s="72"/>
    </row>
    <row r="272" spans="1:1">
      <c r="A272" s="72"/>
    </row>
    <row r="273" spans="1:1">
      <c r="A273" s="72"/>
    </row>
    <row r="274" spans="1:1">
      <c r="A274" s="72"/>
    </row>
    <row r="275" spans="1:1">
      <c r="A275" s="72"/>
    </row>
    <row r="276" spans="1:1">
      <c r="A276" s="72"/>
    </row>
    <row r="277" spans="1:1">
      <c r="A277" s="72"/>
    </row>
    <row r="278" spans="1:1">
      <c r="A278" s="72"/>
    </row>
    <row r="279" spans="1:1">
      <c r="A279" s="72"/>
    </row>
    <row r="280" spans="1:1">
      <c r="A280" s="72"/>
    </row>
    <row r="281" spans="1:1">
      <c r="A281" s="72"/>
    </row>
    <row r="282" spans="1:1">
      <c r="A282" s="72"/>
    </row>
    <row r="283" spans="1:1">
      <c r="A283" s="72"/>
    </row>
    <row r="284" spans="1:1">
      <c r="A284" s="72"/>
    </row>
    <row r="285" spans="1:1">
      <c r="A285" s="72"/>
    </row>
    <row r="286" spans="1:1">
      <c r="A286" s="72"/>
    </row>
    <row r="287" spans="1:1">
      <c r="A287" s="72"/>
    </row>
    <row r="288" spans="1:1">
      <c r="A288" s="72"/>
    </row>
    <row r="289" spans="1:1">
      <c r="A289" s="72"/>
    </row>
    <row r="290" spans="1:1">
      <c r="A290" s="72"/>
    </row>
    <row r="291" spans="1:1">
      <c r="A291" s="72"/>
    </row>
    <row r="292" spans="1:1">
      <c r="A292" s="72"/>
    </row>
    <row r="293" spans="1:1">
      <c r="A293" s="72"/>
    </row>
    <row r="294" spans="1:1">
      <c r="A294" s="72"/>
    </row>
    <row r="295" spans="1:1">
      <c r="A295" s="72"/>
    </row>
    <row r="296" spans="1:1">
      <c r="A296" s="72"/>
    </row>
    <row r="297" spans="1:1">
      <c r="A297" s="72"/>
    </row>
    <row r="298" spans="1:1">
      <c r="A298" s="72"/>
    </row>
    <row r="299" spans="1:1">
      <c r="A299" s="72"/>
    </row>
    <row r="300" spans="1:1">
      <c r="A300" s="72"/>
    </row>
    <row r="301" spans="1:1">
      <c r="A301" s="72"/>
    </row>
    <row r="302" spans="1:1">
      <c r="A302" s="72"/>
    </row>
    <row r="303" spans="1:1">
      <c r="A303" s="72"/>
    </row>
    <row r="304" spans="1:1">
      <c r="A304" s="72"/>
    </row>
    <row r="305" spans="1:1">
      <c r="A305" s="72"/>
    </row>
    <row r="306" spans="1:1">
      <c r="A306" s="72"/>
    </row>
    <row r="307" spans="1:1">
      <c r="A307" s="72"/>
    </row>
    <row r="308" spans="1:1">
      <c r="A308" s="72"/>
    </row>
    <row r="309" spans="1:1">
      <c r="A309" s="72"/>
    </row>
    <row r="310" spans="1:1">
      <c r="A310" s="72"/>
    </row>
    <row r="311" spans="1:1">
      <c r="A311" s="72"/>
    </row>
    <row r="312" spans="1:1">
      <c r="A312" s="72"/>
    </row>
    <row r="313" spans="1:1">
      <c r="A313" s="72"/>
    </row>
    <row r="314" spans="1:1">
      <c r="A314" s="72"/>
    </row>
    <row r="315" spans="1:1">
      <c r="A315" s="72"/>
    </row>
    <row r="316" spans="1:1">
      <c r="A316" s="72"/>
    </row>
    <row r="317" spans="1:1">
      <c r="A317" s="72"/>
    </row>
    <row r="318" spans="1:1">
      <c r="A318" s="72"/>
    </row>
    <row r="319" spans="1:1">
      <c r="A319" s="72"/>
    </row>
    <row r="320" spans="1:1">
      <c r="A320" s="72"/>
    </row>
    <row r="321" spans="1:1">
      <c r="A321" s="72"/>
    </row>
    <row r="322" spans="1:1">
      <c r="A322" s="72"/>
    </row>
    <row r="323" spans="1:1">
      <c r="A323" s="72"/>
    </row>
    <row r="324" spans="1:1">
      <c r="A324" s="72"/>
    </row>
    <row r="325" spans="1:1">
      <c r="A325" s="72"/>
    </row>
    <row r="326" spans="1:1">
      <c r="A326" s="72"/>
    </row>
    <row r="327" spans="1:1">
      <c r="A327" s="72"/>
    </row>
    <row r="328" spans="1:1">
      <c r="A328" s="72"/>
    </row>
    <row r="329" spans="1:1">
      <c r="A329" s="72"/>
    </row>
    <row r="330" spans="1:1">
      <c r="A330" s="72"/>
    </row>
    <row r="331" spans="1:1">
      <c r="A331" s="72"/>
    </row>
    <row r="332" spans="1:1">
      <c r="A332" s="72"/>
    </row>
    <row r="333" spans="1:1">
      <c r="A333" s="72"/>
    </row>
    <row r="334" spans="1:1">
      <c r="A334" s="72"/>
    </row>
    <row r="335" spans="1:1">
      <c r="A335" s="72"/>
    </row>
    <row r="336" spans="1:1">
      <c r="A336" s="72"/>
    </row>
    <row r="337" spans="1:1">
      <c r="A337" s="72"/>
    </row>
    <row r="338" spans="1:1">
      <c r="A338" s="72"/>
    </row>
    <row r="339" spans="1:1">
      <c r="A339" s="72"/>
    </row>
    <row r="340" spans="1:1">
      <c r="A340" s="72"/>
    </row>
    <row r="341" spans="1:1">
      <c r="A341" s="72"/>
    </row>
    <row r="342" spans="1:1">
      <c r="A342" s="72"/>
    </row>
    <row r="343" spans="1:1">
      <c r="A343" s="72"/>
    </row>
    <row r="344" spans="1:1">
      <c r="A344" s="72"/>
    </row>
    <row r="345" spans="1:1">
      <c r="A345" s="72"/>
    </row>
    <row r="346" spans="1:1">
      <c r="A346" s="72"/>
    </row>
    <row r="347" spans="1:1">
      <c r="A347" s="72"/>
    </row>
    <row r="348" spans="1:1">
      <c r="A348" s="72"/>
    </row>
    <row r="349" spans="1:1">
      <c r="A349" s="72"/>
    </row>
    <row r="350" spans="1:1">
      <c r="A350" s="72"/>
    </row>
    <row r="351" spans="1:1">
      <c r="A351" s="72"/>
    </row>
    <row r="352" spans="1:1">
      <c r="A352" s="72"/>
    </row>
    <row r="353" spans="1:1">
      <c r="A353" s="72"/>
    </row>
    <row r="354" spans="1:1">
      <c r="A354" s="72"/>
    </row>
    <row r="355" spans="1:1">
      <c r="A355" s="72"/>
    </row>
    <row r="356" spans="1:1">
      <c r="A356" s="72"/>
    </row>
    <row r="357" spans="1:1">
      <c r="A357" s="72"/>
    </row>
    <row r="358" spans="1:1">
      <c r="A358" s="72"/>
    </row>
    <row r="359" spans="1:1">
      <c r="A359" s="72"/>
    </row>
    <row r="360" spans="1:1">
      <c r="A360" s="72"/>
    </row>
    <row r="361" spans="1:1">
      <c r="A361" s="72"/>
    </row>
    <row r="362" spans="1:1">
      <c r="A362" s="72"/>
    </row>
    <row r="363" spans="1:1">
      <c r="A363" s="72"/>
    </row>
    <row r="364" spans="1:1">
      <c r="A364" s="72"/>
    </row>
    <row r="365" spans="1:1">
      <c r="A365" s="72"/>
    </row>
    <row r="366" spans="1:1">
      <c r="A366" s="72"/>
    </row>
    <row r="367" spans="1:1">
      <c r="A367" s="72"/>
    </row>
    <row r="368" spans="1:1">
      <c r="A368" s="72"/>
    </row>
    <row r="369" spans="1:1">
      <c r="A369" s="72"/>
    </row>
    <row r="370" spans="1:1">
      <c r="A370" s="72"/>
    </row>
    <row r="371" spans="1:1">
      <c r="A371" s="72"/>
    </row>
    <row r="372" spans="1:1">
      <c r="A372" s="72"/>
    </row>
    <row r="373" spans="1:1">
      <c r="A373" s="72"/>
    </row>
    <row r="374" spans="1:1">
      <c r="A374" s="72"/>
    </row>
    <row r="375" spans="1:1">
      <c r="A375" s="72"/>
    </row>
    <row r="376" spans="1:1">
      <c r="A376" s="72"/>
    </row>
    <row r="377" spans="1:1">
      <c r="A377" s="72"/>
    </row>
    <row r="378" spans="1:1">
      <c r="A378" s="72"/>
    </row>
    <row r="379" spans="1:1">
      <c r="A379" s="72"/>
    </row>
    <row r="380" spans="1:1">
      <c r="A380" s="72"/>
    </row>
    <row r="381" spans="1:1">
      <c r="A381" s="72"/>
    </row>
    <row r="382" spans="1:1">
      <c r="A382" s="72"/>
    </row>
    <row r="383" spans="1:1">
      <c r="A383" s="72"/>
    </row>
    <row r="384" spans="1:1">
      <c r="A384" s="72"/>
    </row>
    <row r="385" spans="1:1">
      <c r="A385" s="72"/>
    </row>
    <row r="386" spans="1:1">
      <c r="A386" s="72"/>
    </row>
    <row r="387" spans="1:1">
      <c r="A387" s="72"/>
    </row>
    <row r="388" spans="1:1">
      <c r="A388" s="72"/>
    </row>
    <row r="389" spans="1:1">
      <c r="A389" s="72"/>
    </row>
    <row r="390" spans="1:1">
      <c r="A390" s="72"/>
    </row>
    <row r="391" spans="1:1">
      <c r="A391" s="72"/>
    </row>
    <row r="392" spans="1:1">
      <c r="A392" s="72"/>
    </row>
    <row r="393" spans="1:1">
      <c r="A393" s="72"/>
    </row>
    <row r="394" spans="1:1">
      <c r="A394" s="72"/>
    </row>
    <row r="395" spans="1:1">
      <c r="A395" s="72"/>
    </row>
    <row r="396" spans="1:1">
      <c r="A396" s="72"/>
    </row>
    <row r="397" spans="1:1">
      <c r="A397" s="72"/>
    </row>
    <row r="398" spans="1:1">
      <c r="A398" s="72"/>
    </row>
    <row r="399" spans="1:1">
      <c r="A399" s="72"/>
    </row>
    <row r="400" spans="1:1">
      <c r="A400" s="72"/>
    </row>
    <row r="401" spans="1:1">
      <c r="A401" s="72"/>
    </row>
    <row r="402" spans="1:1">
      <c r="A402" s="72"/>
    </row>
    <row r="403" spans="1:1">
      <c r="A403" s="72"/>
    </row>
    <row r="404" spans="1:1">
      <c r="A404" s="72"/>
    </row>
    <row r="405" spans="1:1">
      <c r="A405" s="72"/>
    </row>
    <row r="406" spans="1:1">
      <c r="A406" s="72"/>
    </row>
    <row r="407" spans="1:1">
      <c r="A407" s="72"/>
    </row>
    <row r="408" spans="1:1">
      <c r="A408" s="72"/>
    </row>
    <row r="409" spans="1:1">
      <c r="A409" s="72"/>
    </row>
    <row r="410" spans="1:1">
      <c r="A410" s="72"/>
    </row>
    <row r="411" spans="1:1">
      <c r="A411" s="72"/>
    </row>
    <row r="412" spans="1:1">
      <c r="A412" s="72"/>
    </row>
    <row r="413" spans="1:1">
      <c r="A413" s="72"/>
    </row>
    <row r="414" spans="1:1">
      <c r="A414" s="72"/>
    </row>
    <row r="415" spans="1:1">
      <c r="A415" s="72"/>
    </row>
    <row r="416" spans="1:1">
      <c r="A416" s="72"/>
    </row>
    <row r="417" spans="1:1">
      <c r="A417" s="72"/>
    </row>
    <row r="418" spans="1:1">
      <c r="A418" s="72"/>
    </row>
    <row r="419" spans="1:1">
      <c r="A419" s="72"/>
    </row>
    <row r="420" spans="1:1">
      <c r="A420" s="72"/>
    </row>
    <row r="421" spans="1:1">
      <c r="A421" s="72"/>
    </row>
    <row r="422" spans="1:1">
      <c r="A422" s="72"/>
    </row>
    <row r="423" spans="1:1">
      <c r="A423" s="72"/>
    </row>
    <row r="424" spans="1:1">
      <c r="A424" s="72"/>
    </row>
    <row r="425" spans="1:1">
      <c r="A425" s="72"/>
    </row>
    <row r="426" spans="1:1">
      <c r="A426" s="72"/>
    </row>
    <row r="427" spans="1:1">
      <c r="A427" s="72"/>
    </row>
    <row r="428" spans="1:1">
      <c r="A428" s="72"/>
    </row>
    <row r="429" spans="1:1">
      <c r="A429" s="72"/>
    </row>
    <row r="430" spans="1:1">
      <c r="A430" s="72"/>
    </row>
    <row r="431" spans="1:1">
      <c r="A431" s="72"/>
    </row>
    <row r="432" spans="1:1">
      <c r="A432" s="72"/>
    </row>
    <row r="433" spans="1:1">
      <c r="A433" s="72"/>
    </row>
    <row r="434" spans="1:1">
      <c r="A434" s="72"/>
    </row>
    <row r="435" spans="1:1">
      <c r="A435" s="72"/>
    </row>
    <row r="436" spans="1:1">
      <c r="A436" s="72"/>
    </row>
    <row r="437" spans="1:1">
      <c r="A437" s="72"/>
    </row>
    <row r="438" spans="1:1">
      <c r="A438" s="72"/>
    </row>
    <row r="439" spans="1:1">
      <c r="A439" s="72"/>
    </row>
    <row r="440" spans="1:1">
      <c r="A440" s="72"/>
    </row>
    <row r="441" spans="1:1">
      <c r="A441" s="72"/>
    </row>
    <row r="442" spans="1:1">
      <c r="A442" s="72"/>
    </row>
    <row r="443" spans="1:1">
      <c r="A443" s="72"/>
    </row>
    <row r="444" spans="1:1">
      <c r="A444" s="72"/>
    </row>
    <row r="445" spans="1:1">
      <c r="A445" s="72"/>
    </row>
    <row r="446" spans="1:1">
      <c r="A446" s="72"/>
    </row>
    <row r="447" spans="1:1">
      <c r="A447" s="72"/>
    </row>
    <row r="448" spans="1:1">
      <c r="A448" s="72"/>
    </row>
    <row r="449" spans="1:1">
      <c r="A449" s="72"/>
    </row>
    <row r="450" spans="1:1">
      <c r="A450" s="72"/>
    </row>
    <row r="451" spans="1:1">
      <c r="A451" s="72"/>
    </row>
    <row r="452" spans="1:1">
      <c r="A452" s="72"/>
    </row>
    <row r="453" spans="1:1">
      <c r="A453" s="72"/>
    </row>
    <row r="454" spans="1:1">
      <c r="A454" s="72"/>
    </row>
    <row r="455" spans="1:1">
      <c r="A455" s="72"/>
    </row>
    <row r="456" spans="1:1">
      <c r="A456" s="72"/>
    </row>
    <row r="457" spans="1:1">
      <c r="A457" s="72"/>
    </row>
    <row r="458" spans="1:1">
      <c r="A458" s="72"/>
    </row>
    <row r="459" spans="1:1">
      <c r="A459" s="72"/>
    </row>
    <row r="460" spans="1:1">
      <c r="A460" s="72"/>
    </row>
    <row r="461" spans="1:1">
      <c r="A461" s="72"/>
    </row>
    <row r="462" spans="1:1">
      <c r="A462" s="72"/>
    </row>
    <row r="463" spans="1:1">
      <c r="A463" s="72"/>
    </row>
    <row r="464" spans="1:1">
      <c r="A464" s="72"/>
    </row>
    <row r="465" spans="1:1">
      <c r="A465" s="72"/>
    </row>
    <row r="466" spans="1:1">
      <c r="A466" s="72"/>
    </row>
    <row r="467" spans="1:1">
      <c r="A467" s="72"/>
    </row>
    <row r="468" spans="1:1">
      <c r="A468" s="72"/>
    </row>
    <row r="469" spans="1:1">
      <c r="A469" s="72"/>
    </row>
    <row r="470" spans="1:1">
      <c r="A470" s="72"/>
    </row>
    <row r="471" spans="1:1">
      <c r="A471" s="72"/>
    </row>
    <row r="472" spans="1:1">
      <c r="A472" s="72"/>
    </row>
    <row r="473" spans="1:1">
      <c r="A473" s="72"/>
    </row>
    <row r="474" spans="1:1">
      <c r="A474" s="72"/>
    </row>
    <row r="475" spans="1:1">
      <c r="A475" s="72"/>
    </row>
    <row r="476" spans="1:1">
      <c r="A476" s="72"/>
    </row>
    <row r="477" spans="1:1">
      <c r="A477" s="72"/>
    </row>
    <row r="478" spans="1:1">
      <c r="A478" s="72"/>
    </row>
    <row r="479" spans="1:1">
      <c r="A479" s="72"/>
    </row>
    <row r="480" spans="1:1">
      <c r="A480" s="72"/>
    </row>
    <row r="481" spans="1:1">
      <c r="A481" s="72"/>
    </row>
    <row r="482" spans="1:1">
      <c r="A482" s="72"/>
    </row>
    <row r="483" spans="1:1">
      <c r="A483" s="72"/>
    </row>
    <row r="484" spans="1:1">
      <c r="A484" s="72"/>
    </row>
    <row r="485" spans="1:1">
      <c r="A485" s="72"/>
    </row>
    <row r="486" spans="1:1">
      <c r="A486" s="72"/>
    </row>
    <row r="487" spans="1:1">
      <c r="A487" s="72"/>
    </row>
    <row r="488" spans="1:1">
      <c r="A488" s="72"/>
    </row>
    <row r="489" spans="1:1">
      <c r="A489" s="72"/>
    </row>
    <row r="490" spans="1:1">
      <c r="A490" s="72"/>
    </row>
    <row r="491" spans="1:1">
      <c r="A491" s="72"/>
    </row>
    <row r="492" spans="1:1">
      <c r="A492" s="72"/>
    </row>
    <row r="493" spans="1:1">
      <c r="A493" s="72"/>
    </row>
    <row r="494" spans="1:1">
      <c r="A494" s="72"/>
    </row>
    <row r="495" spans="1:1">
      <c r="A495" s="72"/>
    </row>
    <row r="496" spans="1:1">
      <c r="A496" s="72"/>
    </row>
    <row r="497" spans="1:1">
      <c r="A497" s="72"/>
    </row>
    <row r="498" spans="1:1">
      <c r="A498" s="72"/>
    </row>
    <row r="499" spans="1:1">
      <c r="A499" s="72"/>
    </row>
    <row r="500" spans="1:1">
      <c r="A500" s="72"/>
    </row>
    <row r="501" spans="1:1">
      <c r="A501" s="72"/>
    </row>
    <row r="502" spans="1:1">
      <c r="A502" s="72"/>
    </row>
    <row r="503" spans="1:1">
      <c r="A503" s="72"/>
    </row>
    <row r="504" spans="1:1">
      <c r="A504" s="72"/>
    </row>
    <row r="505" spans="1:1">
      <c r="A505" s="72"/>
    </row>
    <row r="506" spans="1:1">
      <c r="A506" s="72"/>
    </row>
    <row r="507" spans="1:1">
      <c r="A507" s="72"/>
    </row>
    <row r="508" spans="1:1">
      <c r="A508" s="72"/>
    </row>
    <row r="509" spans="1:1">
      <c r="A509" s="72"/>
    </row>
    <row r="510" spans="1:1">
      <c r="A510" s="72"/>
    </row>
    <row r="511" spans="1:1">
      <c r="A511" s="72"/>
    </row>
    <row r="512" spans="1:1">
      <c r="A512" s="72"/>
    </row>
    <row r="513" spans="1:1">
      <c r="A513" s="72"/>
    </row>
    <row r="514" spans="1:1">
      <c r="A514" s="72"/>
    </row>
    <row r="515" spans="1:1">
      <c r="A515" s="72"/>
    </row>
    <row r="516" spans="1:1">
      <c r="A516" s="72"/>
    </row>
    <row r="517" spans="1:1">
      <c r="A517" s="72"/>
    </row>
    <row r="518" spans="1:1">
      <c r="A518" s="72"/>
    </row>
    <row r="519" spans="1:1">
      <c r="A519" s="72"/>
    </row>
    <row r="520" spans="1:1">
      <c r="A520" s="72"/>
    </row>
    <row r="521" spans="1:1">
      <c r="A521" s="72"/>
    </row>
    <row r="522" spans="1:1">
      <c r="A522" s="72"/>
    </row>
    <row r="523" spans="1:1">
      <c r="A523" s="72"/>
    </row>
    <row r="524" spans="1:1">
      <c r="A524" s="72"/>
    </row>
    <row r="525" spans="1:1">
      <c r="A525" s="72"/>
    </row>
    <row r="526" spans="1:1">
      <c r="A526" s="72"/>
    </row>
    <row r="527" spans="1:1">
      <c r="A527" s="72"/>
    </row>
    <row r="528" spans="1:1">
      <c r="A528" s="72"/>
    </row>
    <row r="529" spans="1:1">
      <c r="A529" s="72"/>
    </row>
    <row r="530" spans="1:1">
      <c r="A530" s="72"/>
    </row>
    <row r="531" spans="1:1">
      <c r="A531" s="72"/>
    </row>
    <row r="532" spans="1:1">
      <c r="A532" s="72"/>
    </row>
    <row r="533" spans="1:1">
      <c r="A533" s="72"/>
    </row>
    <row r="534" spans="1:1">
      <c r="A534" s="72"/>
    </row>
    <row r="535" spans="1:1">
      <c r="A535" s="72"/>
    </row>
    <row r="536" spans="1:1">
      <c r="A536" s="72"/>
    </row>
    <row r="537" spans="1:1">
      <c r="A537" s="72"/>
    </row>
    <row r="538" spans="1:1">
      <c r="A538" s="72"/>
    </row>
    <row r="539" spans="1:1">
      <c r="A539" s="72"/>
    </row>
    <row r="540" spans="1:1">
      <c r="A540" s="72"/>
    </row>
    <row r="541" spans="1:1">
      <c r="A541" s="72"/>
    </row>
    <row r="542" spans="1:1">
      <c r="A542" s="72"/>
    </row>
    <row r="543" spans="1:1">
      <c r="A543" s="72"/>
    </row>
    <row r="544" spans="1:1">
      <c r="A544" s="72"/>
    </row>
    <row r="545" spans="1:1">
      <c r="A545" s="72"/>
    </row>
    <row r="546" spans="1:1">
      <c r="A546" s="72"/>
    </row>
    <row r="547" spans="1:1">
      <c r="A547" s="72"/>
    </row>
    <row r="548" spans="1:1">
      <c r="A548" s="72"/>
    </row>
    <row r="549" spans="1:1">
      <c r="A549" s="72"/>
    </row>
    <row r="550" spans="1:1">
      <c r="A550" s="72"/>
    </row>
    <row r="551" spans="1:1">
      <c r="A551" s="72"/>
    </row>
    <row r="552" spans="1:1">
      <c r="A552" s="72"/>
    </row>
    <row r="553" spans="1:1">
      <c r="A553" s="72"/>
    </row>
    <row r="554" spans="1:1">
      <c r="A554" s="72"/>
    </row>
    <row r="555" spans="1:1">
      <c r="A555" s="72"/>
    </row>
    <row r="556" spans="1:1">
      <c r="A556" s="72"/>
    </row>
    <row r="557" spans="1:1">
      <c r="A557" s="72"/>
    </row>
    <row r="558" spans="1:1">
      <c r="A558" s="72"/>
    </row>
    <row r="559" spans="1:1">
      <c r="A559" s="72"/>
    </row>
    <row r="560" spans="1:1">
      <c r="A560" s="72"/>
    </row>
    <row r="561" spans="1:1">
      <c r="A561" s="72"/>
    </row>
    <row r="562" spans="1:1">
      <c r="A562" s="72"/>
    </row>
    <row r="563" spans="1:1">
      <c r="A563" s="72"/>
    </row>
    <row r="564" spans="1:1">
      <c r="A564" s="72"/>
    </row>
    <row r="565" spans="1:1">
      <c r="A565" s="72"/>
    </row>
    <row r="566" spans="1:1">
      <c r="A566" s="72"/>
    </row>
    <row r="567" spans="1:1">
      <c r="A567" s="72"/>
    </row>
    <row r="568" spans="1:1">
      <c r="A568" s="72"/>
    </row>
    <row r="569" spans="1:1">
      <c r="A569" s="72"/>
    </row>
    <row r="570" spans="1:1">
      <c r="A570" s="72"/>
    </row>
    <row r="571" spans="1:1">
      <c r="A571" s="72"/>
    </row>
    <row r="572" spans="1:1">
      <c r="A572" s="72"/>
    </row>
    <row r="573" spans="1:1">
      <c r="A573" s="72"/>
    </row>
    <row r="574" spans="1:1">
      <c r="A574" s="72"/>
    </row>
    <row r="575" spans="1:1">
      <c r="A575" s="72"/>
    </row>
    <row r="576" spans="1:1">
      <c r="A576" s="72"/>
    </row>
    <row r="577" spans="1:1">
      <c r="A577" s="72"/>
    </row>
    <row r="578" spans="1:1">
      <c r="A578" s="72"/>
    </row>
    <row r="579" spans="1:1">
      <c r="A579" s="72"/>
    </row>
    <row r="580" spans="1:1">
      <c r="A580" s="72"/>
    </row>
    <row r="581" spans="1:1">
      <c r="A581" s="72"/>
    </row>
    <row r="582" spans="1:1">
      <c r="A582" s="72"/>
    </row>
    <row r="583" spans="1:1">
      <c r="A583" s="72"/>
    </row>
    <row r="584" spans="1:1">
      <c r="A584" s="72"/>
    </row>
    <row r="585" spans="1:1">
      <c r="A585" s="72"/>
    </row>
    <row r="586" spans="1:1">
      <c r="A586" s="72"/>
    </row>
    <row r="587" spans="1:1">
      <c r="A587" s="72"/>
    </row>
    <row r="588" spans="1:1">
      <c r="A588" s="72"/>
    </row>
    <row r="589" spans="1:1">
      <c r="A589" s="72"/>
    </row>
    <row r="590" spans="1:1">
      <c r="A590" s="72"/>
    </row>
    <row r="591" spans="1:1">
      <c r="A591" s="72"/>
    </row>
    <row r="592" spans="1:1">
      <c r="A592" s="72"/>
    </row>
    <row r="593" spans="1:1">
      <c r="A593" s="72"/>
    </row>
    <row r="594" spans="1:1">
      <c r="A594" s="72"/>
    </row>
    <row r="595" spans="1:1">
      <c r="A595" s="72"/>
    </row>
    <row r="596" spans="1:1">
      <c r="A596" s="72"/>
    </row>
    <row r="597" spans="1:1">
      <c r="A597" s="72"/>
    </row>
    <row r="598" spans="1:1">
      <c r="A598" s="72"/>
    </row>
    <row r="599" spans="1:1">
      <c r="A599" s="72"/>
    </row>
    <row r="600" spans="1:1">
      <c r="A600" s="72"/>
    </row>
    <row r="601" spans="1:1">
      <c r="A601" s="72"/>
    </row>
    <row r="602" spans="1:1">
      <c r="A602" s="72"/>
    </row>
    <row r="603" spans="1:1">
      <c r="A603" s="72"/>
    </row>
    <row r="604" spans="1:1">
      <c r="A604" s="72"/>
    </row>
    <row r="605" spans="1:1">
      <c r="A605" s="72"/>
    </row>
    <row r="606" spans="1:1">
      <c r="A606" s="72"/>
    </row>
    <row r="607" spans="1:1">
      <c r="A607" s="72"/>
    </row>
    <row r="608" spans="1:1">
      <c r="A608" s="72"/>
    </row>
    <row r="609" spans="1:1">
      <c r="A609" s="72"/>
    </row>
    <row r="610" spans="1:1">
      <c r="A610" s="72"/>
    </row>
    <row r="611" spans="1:1">
      <c r="A611" s="72"/>
    </row>
    <row r="612" spans="1:1">
      <c r="A612" s="72"/>
    </row>
    <row r="613" spans="1:1">
      <c r="A613" s="72"/>
    </row>
    <row r="614" spans="1:1">
      <c r="A614" s="72"/>
    </row>
    <row r="615" spans="1:1">
      <c r="A615" s="72"/>
    </row>
    <row r="616" spans="1:1">
      <c r="A616" s="72"/>
    </row>
    <row r="617" spans="1:1">
      <c r="A617" s="72"/>
    </row>
    <row r="618" spans="1:1">
      <c r="A618" s="72"/>
    </row>
    <row r="619" spans="1:1">
      <c r="A619" s="72"/>
    </row>
    <row r="620" spans="1:1">
      <c r="A620" s="72"/>
    </row>
    <row r="621" spans="1:1">
      <c r="A621" s="72"/>
    </row>
    <row r="622" spans="1:1">
      <c r="A622" s="72"/>
    </row>
    <row r="623" spans="1:1">
      <c r="A623" s="72"/>
    </row>
    <row r="624" spans="1:1">
      <c r="A624" s="72"/>
    </row>
    <row r="625" spans="1:1">
      <c r="A625" s="72"/>
    </row>
    <row r="626" spans="1:1">
      <c r="A626" s="72"/>
    </row>
    <row r="627" spans="1:1">
      <c r="A627" s="72"/>
    </row>
    <row r="628" spans="1:1">
      <c r="A628" s="72"/>
    </row>
    <row r="629" spans="1:1">
      <c r="A629" s="72"/>
    </row>
    <row r="630" spans="1:1">
      <c r="A630" s="72"/>
    </row>
    <row r="631" spans="1:1">
      <c r="A631" s="72"/>
    </row>
    <row r="632" spans="1:1">
      <c r="A632" s="72"/>
    </row>
    <row r="633" spans="1:1">
      <c r="A633" s="72"/>
    </row>
    <row r="634" spans="1:1">
      <c r="A634" s="72"/>
    </row>
    <row r="635" spans="1:1">
      <c r="A635" s="72"/>
    </row>
    <row r="636" spans="1:1">
      <c r="A636" s="72"/>
    </row>
    <row r="637" spans="1:1">
      <c r="A637" s="72"/>
    </row>
    <row r="638" spans="1:1">
      <c r="A638" s="72"/>
    </row>
    <row r="639" spans="1:1">
      <c r="A639" s="72"/>
    </row>
    <row r="640" spans="1:1">
      <c r="A640" s="72"/>
    </row>
    <row r="641" spans="1:1">
      <c r="A641" s="72"/>
    </row>
    <row r="642" spans="1:1">
      <c r="A642" s="72"/>
    </row>
    <row r="643" spans="1:1">
      <c r="A643" s="72"/>
    </row>
    <row r="644" spans="1:1">
      <c r="A644" s="72"/>
    </row>
    <row r="645" spans="1:1">
      <c r="A645" s="72"/>
    </row>
    <row r="646" spans="1:1">
      <c r="A646" s="72"/>
    </row>
    <row r="647" spans="1:1">
      <c r="A647" s="72"/>
    </row>
    <row r="648" spans="1:1">
      <c r="A648" s="72"/>
    </row>
    <row r="649" spans="1:1">
      <c r="A649" s="72"/>
    </row>
    <row r="650" spans="1:1">
      <c r="A650" s="72"/>
    </row>
    <row r="651" spans="1:1">
      <c r="A651" s="72"/>
    </row>
    <row r="652" spans="1:1">
      <c r="A652" s="72"/>
    </row>
    <row r="653" spans="1:1">
      <c r="A653" s="72"/>
    </row>
    <row r="654" spans="1:1">
      <c r="A654" s="72"/>
    </row>
    <row r="655" spans="1:1">
      <c r="A655" s="72"/>
    </row>
    <row r="656" spans="1:1">
      <c r="A656" s="72"/>
    </row>
    <row r="657" spans="1:1">
      <c r="A657" s="72"/>
    </row>
    <row r="658" spans="1:1">
      <c r="A658" s="72"/>
    </row>
    <row r="659" spans="1:1">
      <c r="A659" s="72"/>
    </row>
    <row r="660" spans="1:1">
      <c r="A660" s="72"/>
    </row>
    <row r="661" spans="1:1">
      <c r="A661" s="72"/>
    </row>
    <row r="662" spans="1:1">
      <c r="A662" s="72"/>
    </row>
    <row r="663" spans="1:1">
      <c r="A663" s="72"/>
    </row>
    <row r="664" spans="1:1">
      <c r="A664" s="72"/>
    </row>
    <row r="665" spans="1:1">
      <c r="A665" s="72"/>
    </row>
    <row r="666" spans="1:1">
      <c r="A666" s="72"/>
    </row>
    <row r="667" spans="1:1">
      <c r="A667" s="72"/>
    </row>
    <row r="668" spans="1:1">
      <c r="A668" s="72"/>
    </row>
    <row r="669" spans="1:1">
      <c r="A669" s="72"/>
    </row>
    <row r="670" spans="1:1">
      <c r="A670" s="72"/>
    </row>
    <row r="671" spans="1:1">
      <c r="A671" s="72"/>
    </row>
    <row r="672" spans="1:1">
      <c r="A672" s="72"/>
    </row>
    <row r="673" spans="1:1">
      <c r="A673" s="72"/>
    </row>
    <row r="674" spans="1:1">
      <c r="A674" s="72"/>
    </row>
    <row r="675" spans="1:1">
      <c r="A675" s="72"/>
    </row>
    <row r="676" spans="1:1">
      <c r="A676" s="72"/>
    </row>
    <row r="677" spans="1:1">
      <c r="A677" s="72"/>
    </row>
    <row r="678" spans="1:1">
      <c r="A678" s="72"/>
    </row>
    <row r="679" spans="1:1">
      <c r="A679" s="72"/>
    </row>
    <row r="680" spans="1:1">
      <c r="A680" s="72"/>
    </row>
    <row r="681" spans="1:1">
      <c r="A681" s="72"/>
    </row>
    <row r="682" spans="1:1">
      <c r="A682" s="72"/>
    </row>
    <row r="683" spans="1:1">
      <c r="A683" s="72"/>
    </row>
    <row r="684" spans="1:1">
      <c r="A684" s="72"/>
    </row>
    <row r="685" spans="1:1">
      <c r="A685" s="72"/>
    </row>
    <row r="686" spans="1:1">
      <c r="A686" s="72"/>
    </row>
    <row r="687" spans="1:1">
      <c r="A687" s="72"/>
    </row>
    <row r="688" spans="1:1">
      <c r="A688" s="72"/>
    </row>
    <row r="689" spans="1:1">
      <c r="A689" s="72"/>
    </row>
    <row r="690" spans="1:1">
      <c r="A690" s="72"/>
    </row>
    <row r="691" spans="1:1">
      <c r="A691" s="72"/>
    </row>
    <row r="692" spans="1:1">
      <c r="A692" s="72"/>
    </row>
    <row r="693" spans="1:1">
      <c r="A693" s="72"/>
    </row>
    <row r="694" spans="1:1">
      <c r="A694" s="72"/>
    </row>
    <row r="695" spans="1:1">
      <c r="A695" s="72"/>
    </row>
    <row r="696" spans="1:1">
      <c r="A696" s="72"/>
    </row>
    <row r="697" spans="1:1">
      <c r="A697" s="72"/>
    </row>
    <row r="698" spans="1:1">
      <c r="A698" s="72"/>
    </row>
    <row r="699" spans="1:1">
      <c r="A699" s="72"/>
    </row>
    <row r="700" spans="1:1">
      <c r="A700" s="72"/>
    </row>
    <row r="701" spans="1:1">
      <c r="A701" s="72"/>
    </row>
    <row r="702" spans="1:1">
      <c r="A702" s="72"/>
    </row>
    <row r="703" spans="1:1">
      <c r="A703" s="72"/>
    </row>
    <row r="704" spans="1:1">
      <c r="A704" s="72"/>
    </row>
    <row r="705" spans="1:1">
      <c r="A705" s="72"/>
    </row>
    <row r="706" spans="1:1">
      <c r="A706" s="72"/>
    </row>
    <row r="707" spans="1:1">
      <c r="A707" s="72"/>
    </row>
    <row r="708" spans="1:1">
      <c r="A708" s="72"/>
    </row>
    <row r="709" spans="1:1">
      <c r="A709" s="72"/>
    </row>
    <row r="710" spans="1:1">
      <c r="A710" s="72"/>
    </row>
    <row r="711" spans="1:1">
      <c r="A711" s="72"/>
    </row>
    <row r="712" spans="1:1">
      <c r="A712" s="72"/>
    </row>
    <row r="713" spans="1:1">
      <c r="A713" s="72"/>
    </row>
    <row r="714" spans="1:1">
      <c r="A714" s="72"/>
    </row>
    <row r="715" spans="1:1">
      <c r="A715" s="72"/>
    </row>
    <row r="716" spans="1:1">
      <c r="A716" s="72"/>
    </row>
    <row r="717" spans="1:1">
      <c r="A717" s="72"/>
    </row>
    <row r="718" spans="1:1">
      <c r="A718" s="72"/>
    </row>
    <row r="719" spans="1:1">
      <c r="A719" s="72"/>
    </row>
    <row r="720" spans="1:1">
      <c r="A720" s="72"/>
    </row>
    <row r="721" spans="1:1">
      <c r="A721" s="72"/>
    </row>
    <row r="722" spans="1:1">
      <c r="A722" s="72"/>
    </row>
    <row r="723" spans="1:1">
      <c r="A723" s="72"/>
    </row>
    <row r="724" spans="1:1">
      <c r="A724" s="72"/>
    </row>
    <row r="725" spans="1:1">
      <c r="A725" s="72"/>
    </row>
    <row r="726" spans="1:1">
      <c r="A726" s="72"/>
    </row>
    <row r="727" spans="1:1">
      <c r="A727" s="72"/>
    </row>
    <row r="728" spans="1:1">
      <c r="A728" s="72"/>
    </row>
    <row r="729" spans="1:1">
      <c r="A729" s="72"/>
    </row>
    <row r="730" spans="1:1">
      <c r="A730" s="72"/>
    </row>
    <row r="731" spans="1:1">
      <c r="A731" s="72"/>
    </row>
    <row r="732" spans="1:1">
      <c r="A732" s="72"/>
    </row>
    <row r="733" spans="1:1">
      <c r="A733" s="72"/>
    </row>
    <row r="734" spans="1:1">
      <c r="A734" s="72"/>
    </row>
    <row r="735" spans="1:1">
      <c r="A735" s="72"/>
    </row>
    <row r="736" spans="1:1">
      <c r="A736" s="72"/>
    </row>
    <row r="737" spans="1:1">
      <c r="A737" s="72"/>
    </row>
    <row r="738" spans="1:1">
      <c r="A738" s="72"/>
    </row>
    <row r="739" spans="1:1">
      <c r="A739" s="72"/>
    </row>
    <row r="740" spans="1:1">
      <c r="A740" s="72"/>
    </row>
    <row r="741" spans="1:1">
      <c r="A741" s="72"/>
    </row>
    <row r="742" spans="1:1">
      <c r="A742" s="72"/>
    </row>
    <row r="743" spans="1:1">
      <c r="A743" s="72"/>
    </row>
    <row r="744" spans="1:1">
      <c r="A744" s="72"/>
    </row>
    <row r="745" spans="1:1">
      <c r="A745" s="72"/>
    </row>
    <row r="746" spans="1:1">
      <c r="A746" s="72"/>
    </row>
    <row r="747" spans="1:1">
      <c r="A747" s="72"/>
    </row>
    <row r="748" spans="1:1">
      <c r="A748" s="72"/>
    </row>
    <row r="749" spans="1:1">
      <c r="A749" s="72"/>
    </row>
    <row r="750" spans="1:1">
      <c r="A750" s="72"/>
    </row>
    <row r="751" spans="1:1">
      <c r="A751" s="72"/>
    </row>
    <row r="752" spans="1:1">
      <c r="A752" s="72"/>
    </row>
    <row r="753" spans="1:1">
      <c r="A753" s="72"/>
    </row>
    <row r="754" spans="1:1">
      <c r="A754" s="72"/>
    </row>
    <row r="755" spans="1:1">
      <c r="A755" s="72"/>
    </row>
    <row r="756" spans="1:1">
      <c r="A756" s="72"/>
    </row>
    <row r="757" spans="1:1">
      <c r="A757" s="72"/>
    </row>
    <row r="758" spans="1:1">
      <c r="A758" s="72"/>
    </row>
    <row r="759" spans="1:1">
      <c r="A759" s="72"/>
    </row>
    <row r="760" spans="1:1">
      <c r="A760" s="72"/>
    </row>
    <row r="761" spans="1:1">
      <c r="A761" s="72"/>
    </row>
    <row r="762" spans="1:1">
      <c r="A762" s="72"/>
    </row>
    <row r="763" spans="1:1">
      <c r="A763" s="72"/>
    </row>
    <row r="764" spans="1:1">
      <c r="A764" s="72"/>
    </row>
    <row r="765" spans="1:1">
      <c r="A765" s="72"/>
    </row>
    <row r="766" spans="1:1">
      <c r="A766" s="72"/>
    </row>
    <row r="767" spans="1:1">
      <c r="A767" s="72"/>
    </row>
    <row r="768" spans="1:1">
      <c r="A768" s="72"/>
    </row>
    <row r="769" spans="1:1">
      <c r="A769" s="72"/>
    </row>
    <row r="770" spans="1:1">
      <c r="A770" s="72"/>
    </row>
    <row r="771" spans="1:1">
      <c r="A771" s="72"/>
    </row>
    <row r="772" spans="1:1">
      <c r="A772" s="72"/>
    </row>
    <row r="773" spans="1:1">
      <c r="A773" s="72"/>
    </row>
    <row r="774" spans="1:1">
      <c r="A774" s="72"/>
    </row>
    <row r="775" spans="1:1">
      <c r="A775" s="72"/>
    </row>
    <row r="776" spans="1:1">
      <c r="A776" s="72"/>
    </row>
    <row r="777" spans="1:1">
      <c r="A777" s="72"/>
    </row>
    <row r="778" spans="1:1">
      <c r="A778" s="72"/>
    </row>
    <row r="779" spans="1:1">
      <c r="A779" s="72"/>
    </row>
    <row r="780" spans="1:1">
      <c r="A780" s="72"/>
    </row>
    <row r="781" spans="1:1">
      <c r="A781" s="72"/>
    </row>
    <row r="782" spans="1:1">
      <c r="A782" s="72"/>
    </row>
    <row r="783" spans="1:1">
      <c r="A783" s="72"/>
    </row>
    <row r="784" spans="1:1">
      <c r="A784" s="72"/>
    </row>
    <row r="785" spans="1:1">
      <c r="A785" s="72"/>
    </row>
    <row r="786" spans="1:1">
      <c r="A786" s="72"/>
    </row>
    <row r="787" spans="1:1">
      <c r="A787" s="72"/>
    </row>
    <row r="788" spans="1:1">
      <c r="A788" s="72"/>
    </row>
    <row r="789" spans="1:1">
      <c r="A789" s="72"/>
    </row>
    <row r="790" spans="1:1">
      <c r="A790" s="72"/>
    </row>
    <row r="791" spans="1:1">
      <c r="A791" s="72"/>
    </row>
    <row r="792" spans="1:1">
      <c r="A792" s="72"/>
    </row>
    <row r="793" spans="1:1">
      <c r="A793" s="72"/>
    </row>
    <row r="794" spans="1:1">
      <c r="A794" s="72"/>
    </row>
    <row r="795" spans="1:1">
      <c r="A795" s="72"/>
    </row>
    <row r="796" spans="1:1">
      <c r="A796" s="72"/>
    </row>
    <row r="797" spans="1:1">
      <c r="A797" s="72"/>
    </row>
    <row r="798" spans="1:1">
      <c r="A798" s="72"/>
    </row>
    <row r="799" spans="1:1">
      <c r="A799" s="72"/>
    </row>
    <row r="800" spans="1:1">
      <c r="A800" s="72"/>
    </row>
    <row r="801" spans="1:1">
      <c r="A801" s="72"/>
    </row>
    <row r="802" spans="1:1">
      <c r="A802" s="72"/>
    </row>
    <row r="803" spans="1:1">
      <c r="A803" s="72"/>
    </row>
    <row r="804" spans="1:1">
      <c r="A804" s="72"/>
    </row>
    <row r="805" spans="1:1">
      <c r="A805" s="72"/>
    </row>
    <row r="806" spans="1:1">
      <c r="A806" s="72"/>
    </row>
    <row r="807" spans="1:1">
      <c r="A807" s="72"/>
    </row>
    <row r="808" spans="1:1">
      <c r="A808" s="72"/>
    </row>
    <row r="809" spans="1:1">
      <c r="A809" s="72"/>
    </row>
    <row r="810" spans="1:1">
      <c r="A810" s="72"/>
    </row>
    <row r="811" spans="1:1">
      <c r="A811" s="72"/>
    </row>
    <row r="812" spans="1:1">
      <c r="A812" s="72"/>
    </row>
    <row r="813" spans="1:1">
      <c r="A813" s="72"/>
    </row>
    <row r="814" spans="1:1">
      <c r="A814" s="72"/>
    </row>
    <row r="815" spans="1:1">
      <c r="A815" s="72"/>
    </row>
    <row r="816" spans="1:1">
      <c r="A816" s="72"/>
    </row>
    <row r="817" spans="1:1">
      <c r="A817" s="72"/>
    </row>
    <row r="818" spans="1:1">
      <c r="A818" s="72"/>
    </row>
    <row r="819" spans="1:1">
      <c r="A819" s="72"/>
    </row>
    <row r="820" spans="1:1">
      <c r="A820" s="72"/>
    </row>
    <row r="821" spans="1:1">
      <c r="A821" s="72"/>
    </row>
    <row r="822" spans="1:1">
      <c r="A822" s="72"/>
    </row>
    <row r="823" spans="1:1">
      <c r="A823" s="72"/>
    </row>
    <row r="824" spans="1:1">
      <c r="A824" s="72"/>
    </row>
    <row r="825" spans="1:1">
      <c r="A825" s="72"/>
    </row>
    <row r="826" spans="1:1">
      <c r="A826" s="72"/>
    </row>
    <row r="827" spans="1:1">
      <c r="A827" s="72"/>
    </row>
    <row r="828" spans="1:1">
      <c r="A828" s="72"/>
    </row>
    <row r="829" spans="1:1">
      <c r="A829" s="72"/>
    </row>
    <row r="830" spans="1:1">
      <c r="A830" s="72"/>
    </row>
    <row r="831" spans="1:1">
      <c r="A831" s="72"/>
    </row>
    <row r="832" spans="1:1">
      <c r="A832" s="72"/>
    </row>
    <row r="833" spans="1:1">
      <c r="A833" s="72"/>
    </row>
    <row r="834" spans="1:1">
      <c r="A834" s="72"/>
    </row>
    <row r="835" spans="1:1">
      <c r="A835" s="72"/>
    </row>
    <row r="836" spans="1:1">
      <c r="A836" s="72"/>
    </row>
    <row r="837" spans="1:1">
      <c r="A837" s="72"/>
    </row>
    <row r="838" spans="1:1">
      <c r="A838" s="72"/>
    </row>
    <row r="839" spans="1:1">
      <c r="A839" s="72"/>
    </row>
    <row r="840" spans="1:1">
      <c r="A840" s="72"/>
    </row>
    <row r="841" spans="1:1">
      <c r="A841" s="72"/>
    </row>
    <row r="842" spans="1:1">
      <c r="A842" s="72"/>
    </row>
    <row r="843" spans="1:1">
      <c r="A843" s="72"/>
    </row>
    <row r="844" spans="1:1">
      <c r="A844" s="72"/>
    </row>
    <row r="845" spans="1:1">
      <c r="A845" s="72"/>
    </row>
    <row r="846" spans="1:1">
      <c r="A846" s="72"/>
    </row>
    <row r="847" spans="1:1">
      <c r="A847" s="72"/>
    </row>
    <row r="848" spans="1:1">
      <c r="A848" s="72"/>
    </row>
    <row r="849" spans="1:1">
      <c r="A849" s="72"/>
    </row>
    <row r="850" spans="1:1">
      <c r="A850" s="72"/>
    </row>
    <row r="851" spans="1:1">
      <c r="A851" s="72"/>
    </row>
    <row r="852" spans="1:1">
      <c r="A852" s="72"/>
    </row>
    <row r="853" spans="1:1">
      <c r="A853" s="72"/>
    </row>
    <row r="854" spans="1:1">
      <c r="A854" s="72"/>
    </row>
    <row r="855" spans="1:1">
      <c r="A855" s="72"/>
    </row>
    <row r="856" spans="1:1">
      <c r="A856" s="72"/>
    </row>
    <row r="857" spans="1:1">
      <c r="A857" s="72"/>
    </row>
    <row r="858" spans="1:1">
      <c r="A858" s="72"/>
    </row>
    <row r="859" spans="1:1">
      <c r="A859" s="72"/>
    </row>
    <row r="860" spans="1:1">
      <c r="A860" s="72"/>
    </row>
    <row r="861" spans="1:1">
      <c r="A861" s="72"/>
    </row>
    <row r="862" spans="1:1">
      <c r="A862" s="72"/>
    </row>
    <row r="863" spans="1:1">
      <c r="A863" s="72"/>
    </row>
    <row r="864" spans="1:1">
      <c r="A864" s="72"/>
    </row>
    <row r="865" spans="1:1">
      <c r="A865" s="72"/>
    </row>
    <row r="866" spans="1:1">
      <c r="A866" s="72"/>
    </row>
    <row r="867" spans="1:1">
      <c r="A867" s="72"/>
    </row>
    <row r="868" spans="1:1">
      <c r="A868" s="72"/>
    </row>
    <row r="869" spans="1:1">
      <c r="A869" s="72"/>
    </row>
    <row r="870" spans="1:1">
      <c r="A870" s="72"/>
    </row>
    <row r="871" spans="1:1">
      <c r="A871" s="72"/>
    </row>
    <row r="872" spans="1:1">
      <c r="A872" s="72"/>
    </row>
    <row r="873" spans="1:1">
      <c r="A873" s="72"/>
    </row>
    <row r="874" spans="1:1">
      <c r="A874" s="72"/>
    </row>
    <row r="875" spans="1:1">
      <c r="A875" s="72"/>
    </row>
    <row r="876" spans="1:1">
      <c r="A876" s="72"/>
    </row>
    <row r="877" spans="1:1">
      <c r="A877" s="72"/>
    </row>
    <row r="878" spans="1:1">
      <c r="A878" s="72"/>
    </row>
    <row r="879" spans="1:1">
      <c r="A879" s="72"/>
    </row>
    <row r="880" spans="1:1">
      <c r="A880" s="72"/>
    </row>
    <row r="881" spans="1:1">
      <c r="A881" s="72"/>
    </row>
    <row r="882" spans="1:1">
      <c r="A882" s="72"/>
    </row>
    <row r="883" spans="1:1">
      <c r="A883" s="72"/>
    </row>
    <row r="884" spans="1:1">
      <c r="A884" s="72"/>
    </row>
    <row r="885" spans="1:1">
      <c r="A885" s="72"/>
    </row>
    <row r="886" spans="1:1">
      <c r="A886" s="72"/>
    </row>
    <row r="887" spans="1:1">
      <c r="A887" s="72"/>
    </row>
    <row r="888" spans="1:1">
      <c r="A888" s="72"/>
    </row>
    <row r="889" spans="1:1">
      <c r="A889" s="72"/>
    </row>
    <row r="890" spans="1:1">
      <c r="A890" s="72"/>
    </row>
    <row r="891" spans="1:1">
      <c r="A891" s="72"/>
    </row>
    <row r="892" spans="1:1">
      <c r="A892" s="72"/>
    </row>
    <row r="893" spans="1:1">
      <c r="A893" s="72"/>
    </row>
    <row r="894" spans="1:1">
      <c r="A894" s="72"/>
    </row>
    <row r="895" spans="1:1">
      <c r="A895" s="72"/>
    </row>
    <row r="896" spans="1:1">
      <c r="A896" s="72"/>
    </row>
    <row r="897" spans="1:1">
      <c r="A897" s="72"/>
    </row>
    <row r="898" spans="1:1">
      <c r="A898" s="72"/>
    </row>
    <row r="899" spans="1:1">
      <c r="A899" s="72"/>
    </row>
    <row r="900" spans="1:1">
      <c r="A900" s="72"/>
    </row>
    <row r="901" spans="1:1">
      <c r="A901" s="72"/>
    </row>
    <row r="902" spans="1:1">
      <c r="A902" s="72"/>
    </row>
    <row r="903" spans="1:1">
      <c r="A903" s="72"/>
    </row>
    <row r="904" spans="1:1">
      <c r="A904" s="72"/>
    </row>
    <row r="905" spans="1:1">
      <c r="A905" s="72"/>
    </row>
    <row r="906" spans="1:1">
      <c r="A906" s="72"/>
    </row>
    <row r="907" spans="1:1">
      <c r="A907" s="72"/>
    </row>
    <row r="908" spans="1:1">
      <c r="A908" s="72"/>
    </row>
    <row r="909" spans="1:1">
      <c r="A909" s="72"/>
    </row>
    <row r="910" spans="1:1">
      <c r="A910" s="72"/>
    </row>
    <row r="911" spans="1:1">
      <c r="A911" s="72"/>
    </row>
    <row r="912" spans="1:1">
      <c r="A912" s="72"/>
    </row>
    <row r="913" spans="1:1">
      <c r="A913" s="72"/>
    </row>
    <row r="914" spans="1:1">
      <c r="A914" s="72"/>
    </row>
    <row r="915" spans="1:1">
      <c r="A915" s="72"/>
    </row>
    <row r="916" spans="1:1">
      <c r="A916" s="72"/>
    </row>
    <row r="917" spans="1:1">
      <c r="A917" s="72"/>
    </row>
    <row r="918" spans="1:1">
      <c r="A918" s="72"/>
    </row>
    <row r="919" spans="1:1">
      <c r="A919" s="72"/>
    </row>
    <row r="920" spans="1:1">
      <c r="A920" s="72"/>
    </row>
    <row r="921" spans="1:1">
      <c r="A921" s="72"/>
    </row>
    <row r="922" spans="1:1">
      <c r="A922" s="72"/>
    </row>
    <row r="923" spans="1:1">
      <c r="A923" s="72"/>
    </row>
    <row r="924" spans="1:1">
      <c r="A924" s="72"/>
    </row>
    <row r="925" spans="1:1">
      <c r="A925" s="72"/>
    </row>
    <row r="926" spans="1:1">
      <c r="A926" s="72"/>
    </row>
    <row r="927" spans="1:1">
      <c r="A927" s="72"/>
    </row>
    <row r="928" spans="1:1">
      <c r="A928" s="72"/>
    </row>
    <row r="929" spans="1:1">
      <c r="A929" s="72"/>
    </row>
    <row r="930" spans="1:1">
      <c r="A930" s="72"/>
    </row>
    <row r="931" spans="1:1">
      <c r="A931" s="72"/>
    </row>
    <row r="932" spans="1:1">
      <c r="A932" s="72"/>
    </row>
    <row r="933" spans="1:1">
      <c r="A933" s="72"/>
    </row>
    <row r="934" spans="1:1">
      <c r="A934" s="72"/>
    </row>
    <row r="935" spans="1:1">
      <c r="A935" s="72"/>
    </row>
    <row r="936" spans="1:1">
      <c r="A936" s="72"/>
    </row>
    <row r="937" spans="1:1">
      <c r="A937" s="72"/>
    </row>
    <row r="938" spans="1:1">
      <c r="A938" s="72"/>
    </row>
    <row r="939" spans="1:1">
      <c r="A939" s="72"/>
    </row>
    <row r="940" spans="1:1">
      <c r="A940" s="72"/>
    </row>
    <row r="941" spans="1:1">
      <c r="A941" s="72"/>
    </row>
    <row r="942" spans="1:1">
      <c r="A942" s="72"/>
    </row>
    <row r="943" spans="1:1">
      <c r="A943" s="72"/>
    </row>
    <row r="944" spans="1:1">
      <c r="A944" s="72"/>
    </row>
    <row r="945" spans="1:1">
      <c r="A945" s="72"/>
    </row>
    <row r="946" spans="1:1">
      <c r="A946" s="72"/>
    </row>
    <row r="947" spans="1:1">
      <c r="A947" s="72"/>
    </row>
    <row r="948" spans="1:1">
      <c r="A948" s="72"/>
    </row>
    <row r="949" spans="1:1">
      <c r="A949" s="72"/>
    </row>
    <row r="950" spans="1:1">
      <c r="A950" s="72"/>
    </row>
    <row r="951" spans="1:1">
      <c r="A951" s="72"/>
    </row>
    <row r="952" spans="1:1">
      <c r="A952" s="72"/>
    </row>
    <row r="953" spans="1:1">
      <c r="A953" s="72"/>
    </row>
    <row r="954" spans="1:1">
      <c r="A954" s="72"/>
    </row>
    <row r="955" spans="1:1">
      <c r="A955" s="72"/>
    </row>
    <row r="956" spans="1:1">
      <c r="A956" s="72"/>
    </row>
    <row r="957" spans="1:1">
      <c r="A957" s="72"/>
    </row>
    <row r="958" spans="1:1">
      <c r="A958" s="72"/>
    </row>
    <row r="959" spans="1:1">
      <c r="A959" s="72"/>
    </row>
    <row r="960" spans="1:1">
      <c r="A960" s="72"/>
    </row>
    <row r="961" spans="1:1">
      <c r="A961" s="72"/>
    </row>
    <row r="962" spans="1:1">
      <c r="A962" s="72"/>
    </row>
    <row r="963" spans="1:1">
      <c r="A963" s="72"/>
    </row>
    <row r="964" spans="1:1">
      <c r="A964" s="72"/>
    </row>
    <row r="965" spans="1:1">
      <c r="A965" s="72"/>
    </row>
    <row r="966" spans="1:1">
      <c r="A966" s="72"/>
    </row>
    <row r="967" spans="1:1">
      <c r="A967" s="72"/>
    </row>
    <row r="968" spans="1:1">
      <c r="A968" s="72"/>
    </row>
    <row r="969" spans="1:1">
      <c r="A969" s="72"/>
    </row>
    <row r="970" spans="1:1">
      <c r="A970" s="72"/>
    </row>
    <row r="971" spans="1:1">
      <c r="A971" s="72"/>
    </row>
    <row r="972" spans="1:1">
      <c r="A972" s="72"/>
    </row>
    <row r="973" spans="1:1">
      <c r="A973" s="72"/>
    </row>
    <row r="974" spans="1:1">
      <c r="A974" s="72"/>
    </row>
    <row r="975" spans="1:1">
      <c r="A975" s="72"/>
    </row>
    <row r="976" spans="1:1">
      <c r="A976" s="72"/>
    </row>
    <row r="977" spans="1:1">
      <c r="A977" s="72"/>
    </row>
    <row r="978" spans="1:1">
      <c r="A978" s="72"/>
    </row>
    <row r="979" spans="1:1">
      <c r="A979" s="72"/>
    </row>
    <row r="980" spans="1:1">
      <c r="A980" s="72"/>
    </row>
    <row r="981" spans="1:1">
      <c r="A981" s="72"/>
    </row>
    <row r="982" spans="1:1">
      <c r="A982" s="72"/>
    </row>
    <row r="983" spans="1:1">
      <c r="A983" s="72"/>
    </row>
    <row r="984" spans="1:1">
      <c r="A984" s="72"/>
    </row>
    <row r="985" spans="1:1">
      <c r="A985" s="72"/>
    </row>
    <row r="986" spans="1:1">
      <c r="A986" s="72"/>
    </row>
    <row r="987" spans="1:1">
      <c r="A987" s="72"/>
    </row>
    <row r="988" spans="1:1">
      <c r="A988" s="72"/>
    </row>
    <row r="989" spans="1:1">
      <c r="A989" s="72"/>
    </row>
    <row r="990" spans="1:1">
      <c r="A990" s="72"/>
    </row>
    <row r="991" spans="1:1">
      <c r="A991" s="72"/>
    </row>
    <row r="992" spans="1:1">
      <c r="A992" s="72"/>
    </row>
    <row r="993" spans="1:1">
      <c r="A993" s="72"/>
    </row>
    <row r="994" spans="1:1">
      <c r="A994" s="72"/>
    </row>
    <row r="995" spans="1:1">
      <c r="A995" s="72"/>
    </row>
    <row r="996" spans="1:1">
      <c r="A996" s="72"/>
    </row>
    <row r="997" spans="1:1">
      <c r="A997" s="72"/>
    </row>
    <row r="998" spans="1:1">
      <c r="A998" s="72"/>
    </row>
    <row r="999" spans="1:1">
      <c r="A999" s="72"/>
    </row>
    <row r="1000" spans="1:1">
      <c r="A1000" s="72"/>
    </row>
  </sheetData>
  <hyperlinks>
    <hyperlink ref="A1" r:id="rId1"/>
    <hyperlink ref="A26" r:id="rId2"/>
  </hyperlinks>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1453</TotalTime>
  <Application>Microsoft Excel</Application>
  <DocSecurity>0</DocSecurity>
  <ScaleCrop>false</ScaleCrop>
  <HeadingPairs>
    <vt:vector size="2" baseType="variant">
      <vt:variant>
        <vt:lpstr>Çalışma Sayfaları</vt:lpstr>
      </vt:variant>
      <vt:variant>
        <vt:i4>3</vt:i4>
      </vt:variant>
    </vt:vector>
  </HeadingPairs>
  <TitlesOfParts>
    <vt:vector size="3" baseType="lpstr">
      <vt:lpstr>4ncü Derece</vt:lpstr>
      <vt:lpstr>Ebced Ayrıntıları</vt:lpstr>
      <vt:lpstr>Vefk Hakkında Yardım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abdil</cp:lastModifiedBy>
  <cp:revision>34</cp:revision>
  <dcterms:created xsi:type="dcterms:W3CDTF">2023-04-28T23:33:54Z</dcterms:created>
  <dcterms:modified xsi:type="dcterms:W3CDTF">2023-05-04T17:11:25Z</dcterms:modified>
  <dc:language>tr-TR</dc:language>
</cp:coreProperties>
</file>